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esktop/rareliquid/Excels/"/>
    </mc:Choice>
  </mc:AlternateContent>
  <xr:revisionPtr revIDLastSave="0" documentId="8_{3F9E9E71-06A0-9D4C-8481-CD7610AB9D2E}" xr6:coauthVersionLast="47" xr6:coauthVersionMax="47" xr10:uidLastSave="{00000000-0000-0000-0000-000000000000}"/>
  <bookViews>
    <workbookView xWindow="0" yWindow="500" windowWidth="51200" windowHeight="28300" xr2:uid="{A469845D-959C-4A7C-80E1-18863DB1EFCC}"/>
  </bookViews>
  <sheets>
    <sheet name="Cover" sheetId="4" r:id="rId1"/>
    <sheet name="Operating Model" sheetId="2" r:id="rId2"/>
    <sheet name="DCF&gt;&gt;&gt;" sheetId="11" r:id="rId3"/>
    <sheet name="Consolidated" sheetId="16" r:id="rId4"/>
    <sheet name="North America" sheetId="10" r:id="rId5"/>
    <sheet name="International" sheetId="14" r:id="rId6"/>
    <sheet name="AWS" sheetId="15" r:id="rId7"/>
    <sheet name="WACC" sheetId="9" r:id="rId8"/>
    <sheet name="Shares" sheetId="3" r:id="rId9"/>
    <sheet name="Comps" sheetId="17" r:id="rId10"/>
    <sheet name="FS&gt;&gt;&gt;" sheetId="12" r:id="rId11"/>
    <sheet name="Segments" sheetId="6" r:id="rId12"/>
    <sheet name="IS" sheetId="8" r:id="rId13"/>
    <sheet name="CFS" sheetId="7" r:id="rId14"/>
    <sheet name="CapEx" sheetId="5" r:id="rId15"/>
  </sheets>
  <externalReferences>
    <externalReference r:id="rId16"/>
  </externalReferences>
  <definedNames>
    <definedName name="CASE" localSheetId="0">[1]LBO!$E$7</definedName>
    <definedName name="CASE">'Operating Model'!#REF!</definedName>
    <definedName name="CIRC" localSheetId="0">[1]LBO!$E$6</definedName>
    <definedName name="CIRC">'Operating Model'!#REF!</definedName>
    <definedName name="PIK">[1]LBO!$E$8</definedName>
    <definedName name="tgr">'Operating Model'!$L$11</definedName>
    <definedName name="wacc">'Operating Model'!$L$10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5" l="1"/>
  <c r="N63" i="15" s="1"/>
  <c r="N60" i="15"/>
  <c r="N59" i="15" s="1"/>
  <c r="R58" i="15"/>
  <c r="S58" i="15" s="1"/>
  <c r="P58" i="15"/>
  <c r="O58" i="15"/>
  <c r="N62" i="14"/>
  <c r="N63" i="14" s="1"/>
  <c r="N60" i="14"/>
  <c r="N59" i="14" s="1"/>
  <c r="R58" i="14"/>
  <c r="S58" i="14" s="1"/>
  <c r="P58" i="14"/>
  <c r="O58" i="14" s="1"/>
  <c r="K47" i="15"/>
  <c r="C47" i="15"/>
  <c r="K47" i="14"/>
  <c r="C47" i="14"/>
  <c r="N62" i="10"/>
  <c r="N63" i="10" s="1"/>
  <c r="N60" i="10"/>
  <c r="N59" i="10" s="1"/>
  <c r="R58" i="10"/>
  <c r="S58" i="10" s="1"/>
  <c r="P58" i="10"/>
  <c r="O58" i="10" s="1"/>
  <c r="R52" i="16"/>
  <c r="S52" i="16" s="1"/>
  <c r="P52" i="16"/>
  <c r="O52" i="16" s="1"/>
  <c r="N56" i="16"/>
  <c r="N57" i="16" s="1"/>
  <c r="N54" i="16"/>
  <c r="N53" i="16" s="1"/>
  <c r="E6" i="3"/>
  <c r="E36" i="9"/>
  <c r="F36" i="9"/>
  <c r="I36" i="9" s="1"/>
  <c r="F30" i="9"/>
  <c r="F29" i="9"/>
  <c r="F28" i="9"/>
  <c r="I28" i="9" s="1"/>
  <c r="E30" i="9"/>
  <c r="E29" i="9"/>
  <c r="E28" i="9"/>
  <c r="K47" i="10"/>
  <c r="K42" i="16"/>
  <c r="F35" i="16"/>
  <c r="G36" i="16" s="1"/>
  <c r="H36" i="16" s="1"/>
  <c r="I36" i="16" s="1"/>
  <c r="J36" i="16" s="1"/>
  <c r="K36" i="16" s="1"/>
  <c r="K36" i="15" s="1"/>
  <c r="E40" i="3"/>
  <c r="E37" i="3"/>
  <c r="E36" i="3" s="1"/>
  <c r="C47" i="10"/>
  <c r="I29" i="9" l="1"/>
  <c r="I30" i="9"/>
  <c r="E32" i="9"/>
  <c r="K36" i="10"/>
  <c r="K36" i="14"/>
  <c r="F35" i="15"/>
  <c r="I36" i="10"/>
  <c r="J36" i="14"/>
  <c r="J36" i="10"/>
  <c r="F35" i="14"/>
  <c r="F35" i="10"/>
  <c r="G36" i="15"/>
  <c r="G36" i="14"/>
  <c r="H36" i="15"/>
  <c r="G36" i="10"/>
  <c r="H36" i="14"/>
  <c r="I36" i="15"/>
  <c r="H36" i="10"/>
  <c r="I36" i="14"/>
  <c r="J36" i="15"/>
  <c r="F36" i="16"/>
  <c r="F36" i="10" l="1"/>
  <c r="F36" i="14"/>
  <c r="F36" i="15"/>
  <c r="D10" i="16" l="1"/>
  <c r="E10" i="16" s="1"/>
  <c r="F10" i="16" s="1"/>
  <c r="G10" i="16" s="1"/>
  <c r="H10" i="16" s="1"/>
  <c r="I10" i="16" s="1"/>
  <c r="J10" i="16" s="1"/>
  <c r="K10" i="16" s="1"/>
  <c r="D6" i="16"/>
  <c r="E10" i="15"/>
  <c r="F10" i="15" s="1"/>
  <c r="G10" i="15" s="1"/>
  <c r="H10" i="15" s="1"/>
  <c r="I10" i="15" s="1"/>
  <c r="J10" i="15" s="1"/>
  <c r="K10" i="15" s="1"/>
  <c r="D10" i="15"/>
  <c r="D6" i="15"/>
  <c r="G46" i="15" s="1"/>
  <c r="D10" i="14"/>
  <c r="E10" i="14" s="1"/>
  <c r="F10" i="14" s="1"/>
  <c r="G10" i="14" s="1"/>
  <c r="H10" i="14" s="1"/>
  <c r="I10" i="14" s="1"/>
  <c r="J10" i="14" s="1"/>
  <c r="K10" i="14" s="1"/>
  <c r="D6" i="14"/>
  <c r="G46" i="14" s="1"/>
  <c r="D6" i="10"/>
  <c r="G46" i="10" s="1"/>
  <c r="D10" i="10"/>
  <c r="E10" i="10" s="1"/>
  <c r="F10" i="10" s="1"/>
  <c r="G10" i="10" s="1"/>
  <c r="H10" i="10" s="1"/>
  <c r="I10" i="10" s="1"/>
  <c r="J10" i="10" s="1"/>
  <c r="K10" i="10" s="1"/>
  <c r="D103" i="2"/>
  <c r="E103" i="2" s="1"/>
  <c r="F103" i="2" s="1"/>
  <c r="G103" i="2" s="1"/>
  <c r="H103" i="2" s="1"/>
  <c r="I103" i="2" s="1"/>
  <c r="J103" i="2" s="1"/>
  <c r="K103" i="2" s="1"/>
  <c r="L103" i="2" s="1"/>
  <c r="M103" i="2" s="1"/>
  <c r="N103" i="2" s="1"/>
  <c r="O103" i="2" s="1"/>
  <c r="P103" i="2" s="1"/>
  <c r="Q103" i="2" s="1"/>
  <c r="K98" i="2"/>
  <c r="K88" i="2" s="1"/>
  <c r="J98" i="2"/>
  <c r="J88" i="2" s="1"/>
  <c r="I98" i="2"/>
  <c r="I88" i="2" s="1"/>
  <c r="D79" i="2"/>
  <c r="E79" i="2" s="1"/>
  <c r="F79" i="2" s="1"/>
  <c r="G79" i="2" s="1"/>
  <c r="H79" i="2" s="1"/>
  <c r="I79" i="2" s="1"/>
  <c r="J79" i="2" s="1"/>
  <c r="K79" i="2" s="1"/>
  <c r="L79" i="2" s="1"/>
  <c r="M79" i="2" s="1"/>
  <c r="N79" i="2" s="1"/>
  <c r="O79" i="2" s="1"/>
  <c r="P79" i="2" s="1"/>
  <c r="Q79" i="2" s="1"/>
  <c r="K73" i="2"/>
  <c r="K68" i="2" s="1"/>
  <c r="J73" i="2"/>
  <c r="J68" i="2" s="1"/>
  <c r="I73" i="2"/>
  <c r="I68" i="2" s="1"/>
  <c r="E19" i="3"/>
  <c r="F17" i="9"/>
  <c r="L120" i="2"/>
  <c r="K120" i="2"/>
  <c r="J120" i="2"/>
  <c r="I120" i="2"/>
  <c r="H120" i="2"/>
  <c r="G120" i="2"/>
  <c r="F120" i="2"/>
  <c r="E120" i="2"/>
  <c r="D120" i="2"/>
  <c r="C120" i="2"/>
  <c r="L100" i="2"/>
  <c r="K100" i="2"/>
  <c r="J100" i="2"/>
  <c r="I100" i="2"/>
  <c r="H100" i="2"/>
  <c r="G100" i="2"/>
  <c r="F100" i="2"/>
  <c r="E100" i="2"/>
  <c r="D100" i="2"/>
  <c r="C100" i="2"/>
  <c r="L75" i="2"/>
  <c r="K75" i="2"/>
  <c r="J75" i="2"/>
  <c r="I75" i="2"/>
  <c r="H75" i="2"/>
  <c r="G75" i="2"/>
  <c r="F75" i="2"/>
  <c r="E75" i="2"/>
  <c r="D75" i="2"/>
  <c r="C75" i="2"/>
  <c r="L51" i="2"/>
  <c r="L52" i="2" s="1"/>
  <c r="F18" i="9" s="1"/>
  <c r="K51" i="2"/>
  <c r="K52" i="2" s="1"/>
  <c r="J51" i="2"/>
  <c r="J52" i="2" s="1"/>
  <c r="I51" i="2"/>
  <c r="I52" i="2" s="1"/>
  <c r="H51" i="2"/>
  <c r="H52" i="2" s="1"/>
  <c r="G51" i="2"/>
  <c r="G52" i="2" s="1"/>
  <c r="F51" i="2"/>
  <c r="F52" i="2" s="1"/>
  <c r="E51" i="2"/>
  <c r="E52" i="2" s="1"/>
  <c r="D51" i="2"/>
  <c r="D52" i="2" s="1"/>
  <c r="C51" i="2"/>
  <c r="C52" i="2" s="1"/>
  <c r="D54" i="2"/>
  <c r="E54" i="2" s="1"/>
  <c r="F54" i="2" s="1"/>
  <c r="G54" i="2" s="1"/>
  <c r="H54" i="2" s="1"/>
  <c r="I54" i="2" s="1"/>
  <c r="J54" i="2" s="1"/>
  <c r="K54" i="2" s="1"/>
  <c r="L54" i="2" s="1"/>
  <c r="M54" i="2" s="1"/>
  <c r="N54" i="2" s="1"/>
  <c r="O54" i="2" s="1"/>
  <c r="P54" i="2" s="1"/>
  <c r="Q54" i="2" s="1"/>
  <c r="Q42" i="2"/>
  <c r="K15" i="15" s="1"/>
  <c r="P42" i="2"/>
  <c r="J15" i="15" s="1"/>
  <c r="O42" i="2"/>
  <c r="I15" i="15" s="1"/>
  <c r="N42" i="2"/>
  <c r="H15" i="15" s="1"/>
  <c r="M42" i="2"/>
  <c r="G15" i="15" s="1"/>
  <c r="L42" i="2"/>
  <c r="F15" i="15" s="1"/>
  <c r="K42" i="2"/>
  <c r="E15" i="15" s="1"/>
  <c r="J42" i="2"/>
  <c r="D15" i="15" s="1"/>
  <c r="I42" i="2"/>
  <c r="C15" i="15" s="1"/>
  <c r="H42" i="2"/>
  <c r="G42" i="2"/>
  <c r="F42" i="2"/>
  <c r="E42" i="2"/>
  <c r="D42" i="2"/>
  <c r="N38" i="2"/>
  <c r="H15" i="14" s="1"/>
  <c r="M38" i="2"/>
  <c r="G15" i="14" s="1"/>
  <c r="L38" i="2"/>
  <c r="F15" i="14" s="1"/>
  <c r="K38" i="2"/>
  <c r="E15" i="14" s="1"/>
  <c r="J38" i="2"/>
  <c r="D15" i="14" s="1"/>
  <c r="I38" i="2"/>
  <c r="C15" i="14" s="1"/>
  <c r="H38" i="2"/>
  <c r="G38" i="2"/>
  <c r="F38" i="2"/>
  <c r="E38" i="2"/>
  <c r="D38" i="2"/>
  <c r="N34" i="2"/>
  <c r="H15" i="10" s="1"/>
  <c r="M34" i="2"/>
  <c r="G15" i="10" s="1"/>
  <c r="L34" i="2"/>
  <c r="F15" i="10" s="1"/>
  <c r="K34" i="2"/>
  <c r="E15" i="10" s="1"/>
  <c r="J34" i="2"/>
  <c r="D15" i="10" s="1"/>
  <c r="I34" i="2"/>
  <c r="C15" i="10" s="1"/>
  <c r="H34" i="2"/>
  <c r="G34" i="2"/>
  <c r="F34" i="2"/>
  <c r="E34" i="2"/>
  <c r="D34" i="2"/>
  <c r="C38" i="2"/>
  <c r="C42" i="2"/>
  <c r="C34" i="2"/>
  <c r="Q25" i="2"/>
  <c r="K12" i="15" s="1"/>
  <c r="Q21" i="2"/>
  <c r="K12" i="14" s="1"/>
  <c r="Q17" i="2"/>
  <c r="K12" i="10" s="1"/>
  <c r="P25" i="2"/>
  <c r="J12" i="15" s="1"/>
  <c r="O25" i="2"/>
  <c r="I12" i="15" s="1"/>
  <c r="N25" i="2"/>
  <c r="H12" i="15" s="1"/>
  <c r="P21" i="2"/>
  <c r="J12" i="14" s="1"/>
  <c r="O21" i="2"/>
  <c r="I12" i="14" s="1"/>
  <c r="N21" i="2"/>
  <c r="H12" i="14" s="1"/>
  <c r="P17" i="2"/>
  <c r="J12" i="10" s="1"/>
  <c r="O17" i="2"/>
  <c r="I12" i="10" s="1"/>
  <c r="I12" i="16" s="1"/>
  <c r="N17" i="2"/>
  <c r="H12" i="10" s="1"/>
  <c r="M25" i="2"/>
  <c r="G12" i="15" s="1"/>
  <c r="L25" i="2"/>
  <c r="F12" i="15" s="1"/>
  <c r="K25" i="2"/>
  <c r="E12" i="15" s="1"/>
  <c r="J25" i="2"/>
  <c r="D12" i="15" s="1"/>
  <c r="I25" i="2"/>
  <c r="C12" i="15" s="1"/>
  <c r="H25" i="2"/>
  <c r="G25" i="2"/>
  <c r="F25" i="2"/>
  <c r="E25" i="2"/>
  <c r="D25" i="2"/>
  <c r="C25" i="2"/>
  <c r="C26" i="2" s="1"/>
  <c r="M21" i="2"/>
  <c r="G12" i="14" s="1"/>
  <c r="L21" i="2"/>
  <c r="F12" i="14" s="1"/>
  <c r="K21" i="2"/>
  <c r="E12" i="14" s="1"/>
  <c r="J21" i="2"/>
  <c r="D12" i="14" s="1"/>
  <c r="I21" i="2"/>
  <c r="C12" i="14" s="1"/>
  <c r="H21" i="2"/>
  <c r="G21" i="2"/>
  <c r="F21" i="2"/>
  <c r="E21" i="2"/>
  <c r="D21" i="2"/>
  <c r="C21" i="2"/>
  <c r="C22" i="2" s="1"/>
  <c r="M17" i="2"/>
  <c r="G12" i="10" s="1"/>
  <c r="G12" i="16" s="1"/>
  <c r="L17" i="2"/>
  <c r="F12" i="10" s="1"/>
  <c r="K17" i="2"/>
  <c r="E12" i="10" s="1"/>
  <c r="J17" i="2"/>
  <c r="D12" i="10" s="1"/>
  <c r="I17" i="2"/>
  <c r="C12" i="10" s="1"/>
  <c r="H17" i="2"/>
  <c r="G17" i="2"/>
  <c r="F17" i="2"/>
  <c r="E17" i="2"/>
  <c r="D17" i="2"/>
  <c r="C17" i="2"/>
  <c r="C18" i="2" s="1"/>
  <c r="D15" i="2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F12" i="16" l="1"/>
  <c r="G13" i="16" s="1"/>
  <c r="H12" i="16"/>
  <c r="H13" i="16" s="1"/>
  <c r="F19" i="14"/>
  <c r="F18" i="14" s="1"/>
  <c r="F21" i="14" s="1"/>
  <c r="F19" i="10"/>
  <c r="F18" i="10" s="1"/>
  <c r="F21" i="10" s="1"/>
  <c r="F19" i="15"/>
  <c r="F19" i="16"/>
  <c r="D15" i="16"/>
  <c r="F18" i="15"/>
  <c r="F21" i="15" s="1"/>
  <c r="J12" i="16"/>
  <c r="C12" i="16"/>
  <c r="K12" i="16"/>
  <c r="G15" i="16"/>
  <c r="G16" i="16" s="1"/>
  <c r="D12" i="16"/>
  <c r="F15" i="16"/>
  <c r="E12" i="16"/>
  <c r="C15" i="16"/>
  <c r="E15" i="16"/>
  <c r="H15" i="16"/>
  <c r="H16" i="16" s="1"/>
  <c r="I13" i="16"/>
  <c r="J86" i="2"/>
  <c r="K86" i="2"/>
  <c r="I86" i="2"/>
  <c r="I83" i="2"/>
  <c r="I81" i="2" s="1"/>
  <c r="I93" i="2"/>
  <c r="I91" i="2" s="1"/>
  <c r="J93" i="2"/>
  <c r="J91" i="2" s="1"/>
  <c r="K93" i="2"/>
  <c r="K91" i="2" s="1"/>
  <c r="K83" i="2"/>
  <c r="K81" i="2" s="1"/>
  <c r="E26" i="10" s="1"/>
  <c r="J83" i="2"/>
  <c r="J81" i="2" s="1"/>
  <c r="D26" i="10" s="1"/>
  <c r="I66" i="2"/>
  <c r="J66" i="2"/>
  <c r="K66" i="2"/>
  <c r="J58" i="2"/>
  <c r="J56" i="2" s="1"/>
  <c r="D23" i="10" s="1"/>
  <c r="K58" i="2"/>
  <c r="K56" i="2" s="1"/>
  <c r="E23" i="10" s="1"/>
  <c r="K63" i="2"/>
  <c r="K61" i="2" s="1"/>
  <c r="J63" i="2"/>
  <c r="J61" i="2" s="1"/>
  <c r="I58" i="2"/>
  <c r="I56" i="2" s="1"/>
  <c r="C23" i="10" s="1"/>
  <c r="I63" i="2"/>
  <c r="I61" i="2" s="1"/>
  <c r="H77" i="2"/>
  <c r="G77" i="2"/>
  <c r="F77" i="2"/>
  <c r="I77" i="2"/>
  <c r="M52" i="2"/>
  <c r="J77" i="2"/>
  <c r="C77" i="2"/>
  <c r="D77" i="2"/>
  <c r="L77" i="2"/>
  <c r="K77" i="2"/>
  <c r="E77" i="2"/>
  <c r="N22" i="2"/>
  <c r="H13" i="14" s="1"/>
  <c r="M39" i="2"/>
  <c r="G16" i="14" s="1"/>
  <c r="E35" i="2"/>
  <c r="M18" i="2"/>
  <c r="G13" i="10" s="1"/>
  <c r="J22" i="2"/>
  <c r="D13" i="14" s="1"/>
  <c r="G26" i="2"/>
  <c r="I18" i="2"/>
  <c r="C13" i="10" s="1"/>
  <c r="F22" i="2"/>
  <c r="D35" i="2"/>
  <c r="M35" i="2"/>
  <c r="G16" i="10" s="1"/>
  <c r="H26" i="2"/>
  <c r="P18" i="2"/>
  <c r="J13" i="10" s="1"/>
  <c r="D22" i="2"/>
  <c r="L22" i="2"/>
  <c r="F13" i="14" s="1"/>
  <c r="I26" i="2"/>
  <c r="C13" i="15" s="1"/>
  <c r="Q26" i="2"/>
  <c r="K13" i="15" s="1"/>
  <c r="I39" i="2"/>
  <c r="C16" i="14" s="1"/>
  <c r="F43" i="2"/>
  <c r="N43" i="2"/>
  <c r="H16" i="15" s="1"/>
  <c r="F18" i="2"/>
  <c r="K22" i="2"/>
  <c r="E13" i="14" s="1"/>
  <c r="E43" i="2"/>
  <c r="H18" i="2"/>
  <c r="E22" i="2"/>
  <c r="M22" i="2"/>
  <c r="G13" i="14" s="1"/>
  <c r="J26" i="2"/>
  <c r="D13" i="15" s="1"/>
  <c r="O22" i="2"/>
  <c r="I13" i="14" s="1"/>
  <c r="E18" i="2"/>
  <c r="J39" i="2"/>
  <c r="D16" i="14" s="1"/>
  <c r="G43" i="2"/>
  <c r="O43" i="2"/>
  <c r="I16" i="15" s="1"/>
  <c r="K39" i="2"/>
  <c r="E16" i="14" s="1"/>
  <c r="D43" i="2"/>
  <c r="L43" i="2"/>
  <c r="F16" i="15" s="1"/>
  <c r="O26" i="2"/>
  <c r="I13" i="15" s="1"/>
  <c r="C46" i="2"/>
  <c r="D39" i="2"/>
  <c r="L39" i="2"/>
  <c r="F16" i="14" s="1"/>
  <c r="I43" i="2"/>
  <c r="C16" i="15" s="1"/>
  <c r="Q22" i="2"/>
  <c r="K13" i="14" s="1"/>
  <c r="F35" i="2"/>
  <c r="N35" i="2"/>
  <c r="H35" i="2"/>
  <c r="G18" i="2"/>
  <c r="J18" i="2"/>
  <c r="D13" i="10" s="1"/>
  <c r="G22" i="2"/>
  <c r="C43" i="2"/>
  <c r="E39" i="2"/>
  <c r="H43" i="2"/>
  <c r="P43" i="2"/>
  <c r="J16" i="15" s="1"/>
  <c r="K26" i="2"/>
  <c r="E13" i="15" s="1"/>
  <c r="K18" i="2"/>
  <c r="E13" i="10" s="1"/>
  <c r="H22" i="2"/>
  <c r="E26" i="2"/>
  <c r="M43" i="2"/>
  <c r="G16" i="15" s="1"/>
  <c r="C39" i="2"/>
  <c r="F39" i="2"/>
  <c r="Q43" i="2"/>
  <c r="K16" i="15" s="1"/>
  <c r="D18" i="2"/>
  <c r="L18" i="2"/>
  <c r="F13" i="10" s="1"/>
  <c r="I22" i="2"/>
  <c r="C13" i="14" s="1"/>
  <c r="F26" i="2"/>
  <c r="N18" i="2"/>
  <c r="H13" i="10" s="1"/>
  <c r="P26" i="2"/>
  <c r="J13" i="15" s="1"/>
  <c r="P22" i="2"/>
  <c r="J13" i="14" s="1"/>
  <c r="I35" i="2"/>
  <c r="C16" i="10" s="1"/>
  <c r="O18" i="2"/>
  <c r="I13" i="10" s="1"/>
  <c r="K43" i="2"/>
  <c r="E16" i="15" s="1"/>
  <c r="L26" i="2"/>
  <c r="F13" i="15" s="1"/>
  <c r="M26" i="2"/>
  <c r="G13" i="15" s="1"/>
  <c r="C35" i="2"/>
  <c r="Q18" i="2"/>
  <c r="K13" i="10" s="1"/>
  <c r="D26" i="2"/>
  <c r="N26" i="2"/>
  <c r="H13" i="15" s="1"/>
  <c r="J43" i="2"/>
  <c r="D16" i="15" s="1"/>
  <c r="J35" i="2"/>
  <c r="D16" i="10" s="1"/>
  <c r="G35" i="2"/>
  <c r="K35" i="2"/>
  <c r="E16" i="10" s="1"/>
  <c r="G39" i="2"/>
  <c r="D46" i="2"/>
  <c r="L46" i="2"/>
  <c r="H46" i="2"/>
  <c r="N46" i="2"/>
  <c r="Q29" i="2"/>
  <c r="E46" i="2"/>
  <c r="M46" i="2"/>
  <c r="L35" i="2"/>
  <c r="F16" i="10" s="1"/>
  <c r="I46" i="2"/>
  <c r="H39" i="2"/>
  <c r="N39" i="2"/>
  <c r="F46" i="2"/>
  <c r="G46" i="2"/>
  <c r="J46" i="2"/>
  <c r="K46" i="2"/>
  <c r="J29" i="2"/>
  <c r="J121" i="2" s="1"/>
  <c r="K29" i="2"/>
  <c r="K121" i="2" s="1"/>
  <c r="C29" i="2"/>
  <c r="C121" i="2" s="1"/>
  <c r="H29" i="2"/>
  <c r="H76" i="2" s="1"/>
  <c r="E29" i="2"/>
  <c r="E76" i="2" s="1"/>
  <c r="M29" i="2"/>
  <c r="O29" i="2"/>
  <c r="G29" i="2"/>
  <c r="G121" i="2" s="1"/>
  <c r="D29" i="2"/>
  <c r="L29" i="2"/>
  <c r="N29" i="2"/>
  <c r="I29" i="2"/>
  <c r="I76" i="2" s="1"/>
  <c r="F29" i="2"/>
  <c r="P29" i="2"/>
  <c r="F122" i="2" l="1"/>
  <c r="F13" i="16"/>
  <c r="F16" i="16"/>
  <c r="E16" i="16"/>
  <c r="D13" i="16"/>
  <c r="J94" i="2"/>
  <c r="D27" i="15" s="1"/>
  <c r="D26" i="15"/>
  <c r="O35" i="2"/>
  <c r="H16" i="10"/>
  <c r="K94" i="2"/>
  <c r="E27" i="15" s="1"/>
  <c r="E26" i="15"/>
  <c r="I94" i="2"/>
  <c r="C27" i="15" s="1"/>
  <c r="C26" i="15"/>
  <c r="K69" i="2"/>
  <c r="E24" i="15" s="1"/>
  <c r="E23" i="15"/>
  <c r="I84" i="2"/>
  <c r="C27" i="10" s="1"/>
  <c r="C26" i="10"/>
  <c r="G19" i="16"/>
  <c r="G19" i="15"/>
  <c r="G18" i="15" s="1"/>
  <c r="G21" i="15" s="1"/>
  <c r="G19" i="10"/>
  <c r="G18" i="10" s="1"/>
  <c r="G21" i="10" s="1"/>
  <c r="G19" i="14"/>
  <c r="G18" i="14" s="1"/>
  <c r="G21" i="14" s="1"/>
  <c r="G21" i="16" s="1"/>
  <c r="J69" i="2"/>
  <c r="D24" i="15" s="1"/>
  <c r="D23" i="15"/>
  <c r="I89" i="2"/>
  <c r="C26" i="14"/>
  <c r="I64" i="2"/>
  <c r="C24" i="14" s="1"/>
  <c r="C23" i="14"/>
  <c r="I69" i="2"/>
  <c r="C24" i="15" s="1"/>
  <c r="C23" i="15"/>
  <c r="K89" i="2"/>
  <c r="E27" i="14" s="1"/>
  <c r="E26" i="14"/>
  <c r="K64" i="2"/>
  <c r="E24" i="14" s="1"/>
  <c r="E23" i="14"/>
  <c r="J89" i="2"/>
  <c r="D27" i="14" s="1"/>
  <c r="D26" i="14"/>
  <c r="C16" i="16"/>
  <c r="D16" i="16"/>
  <c r="O39" i="2"/>
  <c r="H16" i="14"/>
  <c r="J64" i="2"/>
  <c r="D24" i="14" s="1"/>
  <c r="D23" i="14"/>
  <c r="K13" i="16"/>
  <c r="J13" i="16"/>
  <c r="E13" i="16"/>
  <c r="F18" i="16"/>
  <c r="F21" i="16"/>
  <c r="I96" i="2"/>
  <c r="I97" i="2" s="1"/>
  <c r="J96" i="2"/>
  <c r="J97" i="2" s="1"/>
  <c r="J84" i="2"/>
  <c r="K96" i="2"/>
  <c r="K97" i="2" s="1"/>
  <c r="K84" i="2"/>
  <c r="E27" i="10" s="1"/>
  <c r="I59" i="2"/>
  <c r="C24" i="10" s="1"/>
  <c r="I71" i="2"/>
  <c r="I72" i="2" s="1"/>
  <c r="K59" i="2"/>
  <c r="E24" i="10" s="1"/>
  <c r="K71" i="2"/>
  <c r="K72" i="2" s="1"/>
  <c r="J71" i="2"/>
  <c r="J72" i="2" s="1"/>
  <c r="J59" i="2"/>
  <c r="D24" i="10" s="1"/>
  <c r="F121" i="2"/>
  <c r="N52" i="2"/>
  <c r="C101" i="2"/>
  <c r="J122" i="2"/>
  <c r="H121" i="2"/>
  <c r="H101" i="2"/>
  <c r="I101" i="2"/>
  <c r="L101" i="2"/>
  <c r="L121" i="2"/>
  <c r="I122" i="2"/>
  <c r="K76" i="2"/>
  <c r="D101" i="2"/>
  <c r="D121" i="2"/>
  <c r="H122" i="2"/>
  <c r="L122" i="2"/>
  <c r="C76" i="2"/>
  <c r="G76" i="2"/>
  <c r="G122" i="2"/>
  <c r="G101" i="2"/>
  <c r="J101" i="2"/>
  <c r="J76" i="2"/>
  <c r="I121" i="2"/>
  <c r="L76" i="2"/>
  <c r="D122" i="2"/>
  <c r="F76" i="2"/>
  <c r="F101" i="2"/>
  <c r="E122" i="2"/>
  <c r="E121" i="2"/>
  <c r="E101" i="2"/>
  <c r="K101" i="2"/>
  <c r="D76" i="2"/>
  <c r="K122" i="2"/>
  <c r="N19" i="2"/>
  <c r="N27" i="2"/>
  <c r="N23" i="2"/>
  <c r="L36" i="2"/>
  <c r="L40" i="2"/>
  <c r="L44" i="2"/>
  <c r="C30" i="2"/>
  <c r="C23" i="2"/>
  <c r="C19" i="2"/>
  <c r="C27" i="2"/>
  <c r="L30" i="2"/>
  <c r="L23" i="2"/>
  <c r="L19" i="2"/>
  <c r="L27" i="2"/>
  <c r="J27" i="2"/>
  <c r="J115" i="2" s="1"/>
  <c r="J113" i="2" s="1"/>
  <c r="J19" i="2"/>
  <c r="J107" i="2" s="1"/>
  <c r="J105" i="2" s="1"/>
  <c r="D29" i="10" s="1"/>
  <c r="J23" i="2"/>
  <c r="J111" i="2" s="1"/>
  <c r="J109" i="2" s="1"/>
  <c r="D44" i="2"/>
  <c r="D40" i="2"/>
  <c r="D36" i="2"/>
  <c r="K44" i="2"/>
  <c r="K40" i="2"/>
  <c r="K36" i="2"/>
  <c r="O27" i="2"/>
  <c r="O23" i="2"/>
  <c r="O19" i="2"/>
  <c r="J36" i="2"/>
  <c r="J40" i="2"/>
  <c r="J44" i="2"/>
  <c r="M44" i="2"/>
  <c r="M36" i="2"/>
  <c r="M40" i="2"/>
  <c r="K19" i="2"/>
  <c r="K107" i="2" s="1"/>
  <c r="K105" i="2" s="1"/>
  <c r="E29" i="10" s="1"/>
  <c r="K27" i="2"/>
  <c r="K115" i="2" s="1"/>
  <c r="K113" i="2" s="1"/>
  <c r="K23" i="2"/>
  <c r="K111" i="2" s="1"/>
  <c r="K109" i="2" s="1"/>
  <c r="D23" i="2"/>
  <c r="D27" i="2"/>
  <c r="D19" i="2"/>
  <c r="I44" i="2"/>
  <c r="I40" i="2"/>
  <c r="I36" i="2"/>
  <c r="G27" i="2"/>
  <c r="G23" i="2"/>
  <c r="G19" i="2"/>
  <c r="P19" i="2"/>
  <c r="P23" i="2"/>
  <c r="P27" i="2"/>
  <c r="M27" i="2"/>
  <c r="M19" i="2"/>
  <c r="M23" i="2"/>
  <c r="G36" i="2"/>
  <c r="G40" i="2"/>
  <c r="G44" i="2"/>
  <c r="E40" i="2"/>
  <c r="E44" i="2"/>
  <c r="E36" i="2"/>
  <c r="H40" i="2"/>
  <c r="H44" i="2"/>
  <c r="H36" i="2"/>
  <c r="F30" i="2"/>
  <c r="F19" i="2"/>
  <c r="F27" i="2"/>
  <c r="F23" i="2"/>
  <c r="E19" i="2"/>
  <c r="E27" i="2"/>
  <c r="E23" i="2"/>
  <c r="F36" i="2"/>
  <c r="F44" i="2"/>
  <c r="F40" i="2"/>
  <c r="Q19" i="2"/>
  <c r="Q27" i="2"/>
  <c r="Q23" i="2"/>
  <c r="C36" i="2"/>
  <c r="C44" i="2"/>
  <c r="C40" i="2"/>
  <c r="I30" i="2"/>
  <c r="I27" i="2"/>
  <c r="I115" i="2" s="1"/>
  <c r="I113" i="2" s="1"/>
  <c r="I23" i="2"/>
  <c r="I111" i="2" s="1"/>
  <c r="I109" i="2" s="1"/>
  <c r="I19" i="2"/>
  <c r="I107" i="2" s="1"/>
  <c r="I105" i="2" s="1"/>
  <c r="C29" i="10" s="1"/>
  <c r="H23" i="2"/>
  <c r="H27" i="2"/>
  <c r="H19" i="2"/>
  <c r="N44" i="2"/>
  <c r="N36" i="2"/>
  <c r="N40" i="2"/>
  <c r="M30" i="2"/>
  <c r="D47" i="2"/>
  <c r="E47" i="2"/>
  <c r="L47" i="2"/>
  <c r="M47" i="2"/>
  <c r="H47" i="2"/>
  <c r="J47" i="2"/>
  <c r="N47" i="2"/>
  <c r="G47" i="2"/>
  <c r="C47" i="2"/>
  <c r="F47" i="2"/>
  <c r="O38" i="2"/>
  <c r="I15" i="14" s="1"/>
  <c r="K47" i="2"/>
  <c r="I47" i="2"/>
  <c r="O30" i="2"/>
  <c r="E30" i="2"/>
  <c r="K30" i="2"/>
  <c r="H30" i="2"/>
  <c r="P30" i="2"/>
  <c r="N30" i="2"/>
  <c r="D30" i="2"/>
  <c r="J30" i="2"/>
  <c r="G30" i="2"/>
  <c r="Q30" i="2"/>
  <c r="G18" i="16" l="1"/>
  <c r="L69" i="2"/>
  <c r="F24" i="15" s="1"/>
  <c r="I110" i="2"/>
  <c r="C30" i="14" s="1"/>
  <c r="C29" i="14"/>
  <c r="I114" i="2"/>
  <c r="C30" i="15" s="1"/>
  <c r="C29" i="15"/>
  <c r="P39" i="2"/>
  <c r="I16" i="14"/>
  <c r="L89" i="2"/>
  <c r="C27" i="14"/>
  <c r="O34" i="2"/>
  <c r="I15" i="10" s="1"/>
  <c r="I16" i="10"/>
  <c r="J114" i="2"/>
  <c r="D30" i="15" s="1"/>
  <c r="D29" i="15"/>
  <c r="L94" i="2"/>
  <c r="K110" i="2"/>
  <c r="E30" i="14" s="1"/>
  <c r="E29" i="14"/>
  <c r="L84" i="2"/>
  <c r="D27" i="10"/>
  <c r="K114" i="2"/>
  <c r="E30" i="15" s="1"/>
  <c r="E29" i="15"/>
  <c r="H19" i="16"/>
  <c r="H19" i="15"/>
  <c r="H18" i="15" s="1"/>
  <c r="H21" i="15" s="1"/>
  <c r="H19" i="10"/>
  <c r="H18" i="10" s="1"/>
  <c r="H19" i="14"/>
  <c r="H18" i="14" s="1"/>
  <c r="H21" i="14" s="1"/>
  <c r="L64" i="2"/>
  <c r="J110" i="2"/>
  <c r="D30" i="14" s="1"/>
  <c r="D29" i="14"/>
  <c r="P35" i="2"/>
  <c r="M64" i="2"/>
  <c r="N64" i="2"/>
  <c r="L66" i="2"/>
  <c r="F23" i="15" s="1"/>
  <c r="M69" i="2"/>
  <c r="G24" i="15" s="1"/>
  <c r="L59" i="2"/>
  <c r="M59" i="2"/>
  <c r="N59" i="2"/>
  <c r="I117" i="2"/>
  <c r="I118" i="2" s="1"/>
  <c r="I106" i="2"/>
  <c r="C30" i="10" s="1"/>
  <c r="K117" i="2"/>
  <c r="K118" i="2" s="1"/>
  <c r="K106" i="2"/>
  <c r="E30" i="10" s="1"/>
  <c r="J117" i="2"/>
  <c r="J118" i="2" s="1"/>
  <c r="J106" i="2"/>
  <c r="D30" i="10" s="1"/>
  <c r="P34" i="2"/>
  <c r="O52" i="2"/>
  <c r="M76" i="2"/>
  <c r="M101" i="2"/>
  <c r="N101" i="2" s="1"/>
  <c r="O101" i="2" s="1"/>
  <c r="M121" i="2"/>
  <c r="N121" i="2" s="1"/>
  <c r="O46" i="2"/>
  <c r="L81" i="2" l="1"/>
  <c r="F27" i="10"/>
  <c r="N56" i="2"/>
  <c r="H23" i="10" s="1"/>
  <c r="H24" i="10"/>
  <c r="M56" i="2"/>
  <c r="G23" i="10" s="1"/>
  <c r="G24" i="10"/>
  <c r="L91" i="2"/>
  <c r="F26" i="15" s="1"/>
  <c r="F27" i="15"/>
  <c r="Q39" i="2"/>
  <c r="J16" i="14"/>
  <c r="P38" i="2"/>
  <c r="J15" i="14" s="1"/>
  <c r="I19" i="15"/>
  <c r="I18" i="15" s="1"/>
  <c r="I21" i="15" s="1"/>
  <c r="I19" i="10"/>
  <c r="I18" i="10" s="1"/>
  <c r="I19" i="14"/>
  <c r="I18" i="14" s="1"/>
  <c r="I21" i="14" s="1"/>
  <c r="I19" i="16"/>
  <c r="L86" i="2"/>
  <c r="F26" i="14" s="1"/>
  <c r="F27" i="14"/>
  <c r="M89" i="2"/>
  <c r="M110" i="2"/>
  <c r="G30" i="14" s="1"/>
  <c r="Q35" i="2"/>
  <c r="J16" i="10"/>
  <c r="M84" i="2"/>
  <c r="G27" i="10" s="1"/>
  <c r="L56" i="2"/>
  <c r="F23" i="10" s="1"/>
  <c r="F24" i="10"/>
  <c r="L110" i="2"/>
  <c r="F30" i="14" s="1"/>
  <c r="N61" i="2"/>
  <c r="H23" i="14" s="1"/>
  <c r="H24" i="14"/>
  <c r="L114" i="2"/>
  <c r="M61" i="2"/>
  <c r="G23" i="14" s="1"/>
  <c r="G24" i="14"/>
  <c r="J15" i="10"/>
  <c r="H18" i="16"/>
  <c r="H21" i="10"/>
  <c r="M94" i="2"/>
  <c r="M91" i="2" s="1"/>
  <c r="G26" i="15" s="1"/>
  <c r="L61" i="2"/>
  <c r="F23" i="14" s="1"/>
  <c r="F24" i="14"/>
  <c r="I15" i="16"/>
  <c r="I16" i="16" s="1"/>
  <c r="L106" i="2"/>
  <c r="F30" i="10" s="1"/>
  <c r="O64" i="2"/>
  <c r="I24" i="14" s="1"/>
  <c r="O61" i="2"/>
  <c r="I23" i="14" s="1"/>
  <c r="M66" i="2"/>
  <c r="G23" i="15" s="1"/>
  <c r="N69" i="2"/>
  <c r="O69" i="2" s="1"/>
  <c r="M81" i="2"/>
  <c r="L113" i="2"/>
  <c r="F29" i="15" s="1"/>
  <c r="L109" i="2"/>
  <c r="F29" i="14" s="1"/>
  <c r="O59" i="2"/>
  <c r="I24" i="10" s="1"/>
  <c r="P52" i="2"/>
  <c r="O40" i="2"/>
  <c r="O100" i="2"/>
  <c r="O121" i="2"/>
  <c r="N120" i="2"/>
  <c r="M120" i="2"/>
  <c r="M75" i="2"/>
  <c r="M100" i="2"/>
  <c r="P101" i="2"/>
  <c r="Q101" i="2" s="1"/>
  <c r="N100" i="2"/>
  <c r="N76" i="2"/>
  <c r="O47" i="2"/>
  <c r="O44" i="2"/>
  <c r="O36" i="2"/>
  <c r="N84" i="2" l="1"/>
  <c r="H27" i="10" s="1"/>
  <c r="P46" i="2"/>
  <c r="P36" i="2" s="1"/>
  <c r="F32" i="15"/>
  <c r="P69" i="2"/>
  <c r="I24" i="15"/>
  <c r="P40" i="2"/>
  <c r="F32" i="14"/>
  <c r="P44" i="2"/>
  <c r="N94" i="2"/>
  <c r="G27" i="15"/>
  <c r="M114" i="2"/>
  <c r="F30" i="15"/>
  <c r="Q34" i="2"/>
  <c r="K16" i="10"/>
  <c r="I18" i="16"/>
  <c r="L96" i="2"/>
  <c r="L97" i="2" s="1"/>
  <c r="F26" i="10"/>
  <c r="F26" i="16" s="1"/>
  <c r="F27" i="16" s="1"/>
  <c r="P47" i="2"/>
  <c r="M109" i="2"/>
  <c r="G29" i="14" s="1"/>
  <c r="G32" i="14" s="1"/>
  <c r="N110" i="2"/>
  <c r="G23" i="16"/>
  <c r="G24" i="16" s="1"/>
  <c r="M96" i="2"/>
  <c r="M97" i="2" s="1"/>
  <c r="G26" i="10"/>
  <c r="G26" i="16" s="1"/>
  <c r="G27" i="16" s="1"/>
  <c r="N66" i="2"/>
  <c r="H24" i="15"/>
  <c r="J21" i="14"/>
  <c r="L71" i="2"/>
  <c r="L72" i="2" s="1"/>
  <c r="G27" i="14"/>
  <c r="M86" i="2"/>
  <c r="G26" i="14" s="1"/>
  <c r="N89" i="2"/>
  <c r="F23" i="16"/>
  <c r="F24" i="16" s="1"/>
  <c r="M71" i="2"/>
  <c r="M72" i="2" s="1"/>
  <c r="H21" i="16"/>
  <c r="L105" i="2"/>
  <c r="F29" i="10" s="1"/>
  <c r="F29" i="16" s="1"/>
  <c r="F30" i="16" s="1"/>
  <c r="Q52" i="2"/>
  <c r="J19" i="10"/>
  <c r="J18" i="10" s="1"/>
  <c r="J19" i="14"/>
  <c r="J18" i="14" s="1"/>
  <c r="J19" i="16"/>
  <c r="J19" i="15"/>
  <c r="J18" i="15" s="1"/>
  <c r="J21" i="15" s="1"/>
  <c r="N114" i="2"/>
  <c r="M106" i="2"/>
  <c r="G30" i="10" s="1"/>
  <c r="P64" i="2"/>
  <c r="Q64" i="2" s="1"/>
  <c r="I21" i="10"/>
  <c r="J15" i="16"/>
  <c r="J16" i="16" s="1"/>
  <c r="J21" i="10"/>
  <c r="Q38" i="2"/>
  <c r="K16" i="14"/>
  <c r="P59" i="2"/>
  <c r="J24" i="10" s="1"/>
  <c r="O56" i="2"/>
  <c r="I23" i="10" s="1"/>
  <c r="N81" i="2"/>
  <c r="O84" i="2"/>
  <c r="Q69" i="2"/>
  <c r="O66" i="2"/>
  <c r="I23" i="15" s="1"/>
  <c r="Q100" i="2"/>
  <c r="O120" i="2"/>
  <c r="P121" i="2"/>
  <c r="N75" i="2"/>
  <c r="O76" i="2"/>
  <c r="P100" i="2"/>
  <c r="L117" i="2" l="1"/>
  <c r="L118" i="2" s="1"/>
  <c r="I23" i="16"/>
  <c r="I24" i="16" s="1"/>
  <c r="F32" i="10"/>
  <c r="N113" i="2"/>
  <c r="H29" i="15" s="1"/>
  <c r="H30" i="15"/>
  <c r="N106" i="2"/>
  <c r="H30" i="10" s="1"/>
  <c r="K15" i="14"/>
  <c r="K46" i="14" s="1"/>
  <c r="K48" i="14" s="1"/>
  <c r="F32" i="16"/>
  <c r="O81" i="2"/>
  <c r="I26" i="10" s="1"/>
  <c r="I27" i="10"/>
  <c r="K15" i="10"/>
  <c r="Q46" i="2"/>
  <c r="Q40" i="2" s="1"/>
  <c r="G30" i="15"/>
  <c r="M113" i="2"/>
  <c r="G29" i="15" s="1"/>
  <c r="G32" i="15" s="1"/>
  <c r="M105" i="2"/>
  <c r="J18" i="16"/>
  <c r="O114" i="2"/>
  <c r="I21" i="16"/>
  <c r="K19" i="10"/>
  <c r="K18" i="10" s="1"/>
  <c r="K19" i="14"/>
  <c r="K19" i="16"/>
  <c r="K19" i="15"/>
  <c r="K18" i="15" s="1"/>
  <c r="K21" i="15" s="1"/>
  <c r="H27" i="14"/>
  <c r="N86" i="2"/>
  <c r="H26" i="14" s="1"/>
  <c r="O89" i="2"/>
  <c r="H27" i="15"/>
  <c r="O94" i="2"/>
  <c r="P94" i="2"/>
  <c r="N91" i="2"/>
  <c r="H26" i="15" s="1"/>
  <c r="P66" i="2"/>
  <c r="J23" i="15" s="1"/>
  <c r="J24" i="15"/>
  <c r="H26" i="10"/>
  <c r="N109" i="2"/>
  <c r="H29" i="14" s="1"/>
  <c r="H30" i="14"/>
  <c r="O110" i="2"/>
  <c r="J21" i="16"/>
  <c r="N71" i="2"/>
  <c r="N72" i="2" s="1"/>
  <c r="H23" i="15"/>
  <c r="Q66" i="2"/>
  <c r="K23" i="15" s="1"/>
  <c r="K46" i="15" s="1"/>
  <c r="K48" i="15" s="1"/>
  <c r="K24" i="15"/>
  <c r="Q61" i="2"/>
  <c r="K23" i="14" s="1"/>
  <c r="K24" i="14"/>
  <c r="P61" i="2"/>
  <c r="J23" i="14" s="1"/>
  <c r="J24" i="14"/>
  <c r="N105" i="2"/>
  <c r="O71" i="2"/>
  <c r="O72" i="2" s="1"/>
  <c r="Q59" i="2"/>
  <c r="P56" i="2"/>
  <c r="P84" i="2"/>
  <c r="J27" i="10" s="1"/>
  <c r="P120" i="2"/>
  <c r="Q121" i="2"/>
  <c r="O75" i="2"/>
  <c r="P76" i="2"/>
  <c r="O106" i="2" l="1"/>
  <c r="I30" i="10" s="1"/>
  <c r="Q36" i="2"/>
  <c r="N117" i="2"/>
  <c r="N118" i="2" s="1"/>
  <c r="H29" i="10"/>
  <c r="H29" i="16" s="1"/>
  <c r="H30" i="16" s="1"/>
  <c r="H32" i="15"/>
  <c r="H23" i="16"/>
  <c r="H24" i="16" s="1"/>
  <c r="H26" i="16"/>
  <c r="H27" i="16" s="1"/>
  <c r="I27" i="14"/>
  <c r="O86" i="2"/>
  <c r="P89" i="2"/>
  <c r="Q44" i="2"/>
  <c r="Q47" i="2"/>
  <c r="K18" i="14"/>
  <c r="K18" i="16" s="1"/>
  <c r="K21" i="14"/>
  <c r="O91" i="2"/>
  <c r="I26" i="15" s="1"/>
  <c r="I27" i="15"/>
  <c r="Q94" i="2"/>
  <c r="H32" i="14"/>
  <c r="O113" i="2"/>
  <c r="I29" i="15" s="1"/>
  <c r="I30" i="15"/>
  <c r="K15" i="16"/>
  <c r="K16" i="16" s="1"/>
  <c r="K21" i="10"/>
  <c r="P91" i="2"/>
  <c r="J26" i="15" s="1"/>
  <c r="J27" i="15"/>
  <c r="N96" i="2"/>
  <c r="N97" i="2" s="1"/>
  <c r="Q89" i="2"/>
  <c r="P114" i="2"/>
  <c r="P71" i="2"/>
  <c r="P72" i="2" s="1"/>
  <c r="J23" i="10"/>
  <c r="Q56" i="2"/>
  <c r="K24" i="10"/>
  <c r="O109" i="2"/>
  <c r="I29" i="14" s="1"/>
  <c r="I30" i="14"/>
  <c r="P110" i="2"/>
  <c r="M117" i="2"/>
  <c r="M118" i="2" s="1"/>
  <c r="G29" i="10"/>
  <c r="O105" i="2"/>
  <c r="P106" i="2"/>
  <c r="J30" i="10" s="1"/>
  <c r="Q84" i="2"/>
  <c r="P81" i="2"/>
  <c r="P75" i="2"/>
  <c r="Q76" i="2"/>
  <c r="Q120" i="2"/>
  <c r="I26" i="14" l="1"/>
  <c r="O96" i="2"/>
  <c r="O97" i="2" s="1"/>
  <c r="Q91" i="2"/>
  <c r="K26" i="15" s="1"/>
  <c r="K27" i="15"/>
  <c r="Q86" i="2"/>
  <c r="K26" i="14" s="1"/>
  <c r="K27" i="14"/>
  <c r="I32" i="15"/>
  <c r="G29" i="16"/>
  <c r="G30" i="16" s="1"/>
  <c r="G32" i="10"/>
  <c r="Q81" i="2"/>
  <c r="K27" i="10"/>
  <c r="O117" i="2"/>
  <c r="O118" i="2" s="1"/>
  <c r="I29" i="10"/>
  <c r="J23" i="16"/>
  <c r="J24" i="16" s="1"/>
  <c r="K21" i="16"/>
  <c r="H32" i="10"/>
  <c r="J26" i="10"/>
  <c r="J27" i="14"/>
  <c r="P86" i="2"/>
  <c r="J26" i="14" s="1"/>
  <c r="Q71" i="2"/>
  <c r="Q72" i="2" s="1"/>
  <c r="K23" i="10"/>
  <c r="J30" i="14"/>
  <c r="P109" i="2"/>
  <c r="J29" i="14" s="1"/>
  <c r="Q110" i="2"/>
  <c r="J30" i="15"/>
  <c r="P113" i="2"/>
  <c r="J29" i="15" s="1"/>
  <c r="J32" i="15" s="1"/>
  <c r="Q114" i="2"/>
  <c r="Q106" i="2"/>
  <c r="P105" i="2"/>
  <c r="Q75" i="2"/>
  <c r="J26" i="16" l="1"/>
  <c r="J27" i="16" s="1"/>
  <c r="P96" i="2"/>
  <c r="P97" i="2" s="1"/>
  <c r="K23" i="16"/>
  <c r="K24" i="16" s="1"/>
  <c r="K46" i="10"/>
  <c r="K48" i="10" s="1"/>
  <c r="H32" i="16"/>
  <c r="G32" i="16"/>
  <c r="I32" i="14"/>
  <c r="I26" i="16"/>
  <c r="I27" i="16" s="1"/>
  <c r="Q109" i="2"/>
  <c r="K29" i="14" s="1"/>
  <c r="K32" i="14" s="1"/>
  <c r="K30" i="14"/>
  <c r="I29" i="16"/>
  <c r="I30" i="16" s="1"/>
  <c r="I32" i="10"/>
  <c r="P117" i="2"/>
  <c r="P118" i="2" s="1"/>
  <c r="J29" i="10"/>
  <c r="J29" i="16" s="1"/>
  <c r="J30" i="16" s="1"/>
  <c r="Q105" i="2"/>
  <c r="K30" i="10"/>
  <c r="Q96" i="2"/>
  <c r="Q97" i="2" s="1"/>
  <c r="K26" i="10"/>
  <c r="K26" i="16" s="1"/>
  <c r="K27" i="16" s="1"/>
  <c r="Q113" i="2"/>
  <c r="K29" i="15" s="1"/>
  <c r="K32" i="15" s="1"/>
  <c r="K30" i="15"/>
  <c r="J32" i="14"/>
  <c r="E27" i="3"/>
  <c r="B20" i="3"/>
  <c r="B21" i="3" s="1"/>
  <c r="B22" i="3" s="1"/>
  <c r="B23" i="3" s="1"/>
  <c r="B24" i="3" s="1"/>
  <c r="B25" i="3" s="1"/>
  <c r="B26" i="3" s="1"/>
  <c r="B27" i="3" s="1"/>
  <c r="B28" i="3" s="1"/>
  <c r="J32" i="10" l="1"/>
  <c r="J32" i="16" s="1"/>
  <c r="Q117" i="2"/>
  <c r="Q118" i="2" s="1"/>
  <c r="K29" i="10"/>
  <c r="I32" i="16"/>
  <c r="E22" i="3"/>
  <c r="E21" i="3"/>
  <c r="E24" i="3"/>
  <c r="E25" i="3"/>
  <c r="E20" i="3"/>
  <c r="E23" i="3"/>
  <c r="E26" i="3"/>
  <c r="E28" i="3"/>
  <c r="K29" i="16" l="1"/>
  <c r="K30" i="16" s="1"/>
  <c r="K32" i="10"/>
  <c r="E30" i="3"/>
  <c r="E8" i="3" s="1"/>
  <c r="E9" i="3"/>
  <c r="E10" i="3" s="1"/>
  <c r="K32" i="16" l="1"/>
  <c r="E11" i="3"/>
  <c r="E39" i="3" l="1"/>
  <c r="E12" i="3" s="1"/>
  <c r="E14" i="3" s="1"/>
  <c r="K46" i="16" l="1"/>
  <c r="F8" i="9"/>
  <c r="E33" i="9" s="1"/>
  <c r="F12" i="9" s="1"/>
  <c r="F10" i="9" s="1"/>
  <c r="F20" i="9" l="1"/>
  <c r="F16" i="9" s="1"/>
  <c r="S57" i="16"/>
  <c r="R54" i="16"/>
  <c r="S56" i="16"/>
  <c r="S54" i="16"/>
  <c r="O57" i="16"/>
  <c r="P53" i="16"/>
  <c r="R56" i="16"/>
  <c r="P54" i="16"/>
  <c r="R55" i="16"/>
  <c r="O56" i="16"/>
  <c r="R53" i="16"/>
  <c r="S55" i="16"/>
  <c r="Q53" i="16"/>
  <c r="Q55" i="16"/>
  <c r="O53" i="16"/>
  <c r="Q54" i="16"/>
  <c r="R57" i="16"/>
  <c r="Q56" i="16"/>
  <c r="S53" i="16"/>
  <c r="P56" i="16"/>
  <c r="O54" i="16"/>
  <c r="P57" i="16"/>
  <c r="O55" i="16"/>
  <c r="P55" i="16"/>
  <c r="Q57" i="16"/>
  <c r="F9" i="9"/>
  <c r="F22" i="9" s="1"/>
  <c r="L10" i="2" s="1"/>
  <c r="D5" i="14"/>
  <c r="K53" i="14" l="1"/>
  <c r="G33" i="14"/>
  <c r="F33" i="14"/>
  <c r="K49" i="14"/>
  <c r="H33" i="14"/>
  <c r="J33" i="14"/>
  <c r="I33" i="14"/>
  <c r="K33" i="14"/>
  <c r="G47" i="14"/>
  <c r="D5" i="16"/>
  <c r="D5" i="15"/>
  <c r="D5" i="10"/>
  <c r="C49" i="14" l="1"/>
  <c r="K38" i="14" s="1"/>
  <c r="G48" i="14"/>
  <c r="K50" i="14"/>
  <c r="K52" i="14" s="1"/>
  <c r="K53" i="10"/>
  <c r="F33" i="10"/>
  <c r="F33" i="16" s="1"/>
  <c r="G33" i="10"/>
  <c r="H33" i="10"/>
  <c r="H33" i="16" s="1"/>
  <c r="I33" i="10"/>
  <c r="K49" i="10"/>
  <c r="J33" i="10"/>
  <c r="J33" i="16" s="1"/>
  <c r="K33" i="10"/>
  <c r="K33" i="16" s="1"/>
  <c r="G47" i="10"/>
  <c r="K53" i="15"/>
  <c r="F33" i="15"/>
  <c r="K49" i="15"/>
  <c r="G33" i="15"/>
  <c r="H33" i="15"/>
  <c r="J33" i="15"/>
  <c r="I33" i="15"/>
  <c r="K33" i="15"/>
  <c r="G47" i="15"/>
  <c r="G33" i="16" l="1"/>
  <c r="I33" i="16"/>
  <c r="C49" i="15"/>
  <c r="K38" i="15" s="1"/>
  <c r="G48" i="15"/>
  <c r="G48" i="10"/>
  <c r="C49" i="10"/>
  <c r="K38" i="10" s="1"/>
  <c r="K38" i="16" s="1"/>
  <c r="K50" i="15"/>
  <c r="K52" i="15" s="1"/>
  <c r="K50" i="10"/>
  <c r="K52" i="10" s="1"/>
  <c r="C50" i="14"/>
  <c r="K39" i="14" s="1"/>
  <c r="K41" i="14" s="1"/>
  <c r="N58" i="14" s="1"/>
  <c r="G49" i="14"/>
  <c r="G53" i="14" s="1"/>
  <c r="G52" i="14"/>
  <c r="G49" i="10" l="1"/>
  <c r="G53" i="10" s="1"/>
  <c r="C50" i="10"/>
  <c r="K39" i="10" s="1"/>
  <c r="C50" i="15"/>
  <c r="K39" i="15" s="1"/>
  <c r="K41" i="15" s="1"/>
  <c r="N58" i="15" s="1"/>
  <c r="G49" i="15"/>
  <c r="G53" i="15" s="1"/>
  <c r="G52" i="10" l="1"/>
  <c r="G52" i="15"/>
  <c r="K41" i="10"/>
  <c r="K39" i="16"/>
  <c r="N58" i="10" l="1"/>
  <c r="K41" i="16"/>
  <c r="K44" i="16" s="1"/>
  <c r="K47" i="16" s="1"/>
  <c r="N52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K42" authorId="0" shapeId="0" xr:uid="{8E1A8D2E-E525-44F0-90DC-0C9CD10EF94E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  <comment ref="K43" authorId="0" shapeId="0" xr:uid="{3360ABA9-4EED-49E4-A795-8ECC24AD51F6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</authors>
  <commentList>
    <comment ref="K53" authorId="0" shapeId="0" xr:uid="{43DCCA83-4F96-40CD-8EDF-8B34DFB80761}">
      <text>
        <r>
          <rPr>
            <b/>
            <sz val="9"/>
            <color indexed="81"/>
            <rFont val="Tahoma"/>
            <family val="2"/>
          </rPr>
          <t>Ben Chon</t>
        </r>
        <r>
          <rPr>
            <sz val="9"/>
            <color indexed="81"/>
            <rFont val="Tahoma"/>
            <family val="2"/>
          </rPr>
          <t xml:space="preserve">
Implied TGR = [WACC-FCF(t)/TV]/(1+FCF(t)/TV)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</authors>
  <commentList>
    <comment ref="K53" authorId="0" shapeId="0" xr:uid="{B34B6146-99A1-4714-A2EE-CF2BBDE2D2C3}">
      <text>
        <r>
          <rPr>
            <b/>
            <sz val="9"/>
            <color indexed="81"/>
            <rFont val="Tahoma"/>
            <family val="2"/>
          </rPr>
          <t>Ben Chon</t>
        </r>
        <r>
          <rPr>
            <sz val="9"/>
            <color indexed="81"/>
            <rFont val="Tahoma"/>
            <family val="2"/>
          </rPr>
          <t xml:space="preserve">
Implied TGR = [WACC-FCF(t)/TV]/(1+FCF(t)/TV)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</authors>
  <commentList>
    <comment ref="K53" authorId="0" shapeId="0" xr:uid="{DF03E456-7F50-40CA-959B-EBB2E951D9A5}">
      <text>
        <r>
          <rPr>
            <b/>
            <sz val="9"/>
            <color indexed="81"/>
            <rFont val="Tahoma"/>
            <family val="2"/>
          </rPr>
          <t>Ben Chon</t>
        </r>
        <r>
          <rPr>
            <sz val="9"/>
            <color indexed="81"/>
            <rFont val="Tahoma"/>
            <family val="2"/>
          </rPr>
          <t xml:space="preserve">
Implied TGR = [WACC-FCF(t)/TV]/(1+FCF(t)/TV)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F8" authorId="0" shapeId="0" xr:uid="{DEF58AE0-0B80-463D-9A04-8B8C9F12F2A8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As of 8/30/24</t>
        </r>
      </text>
    </comment>
    <comment ref="I28" authorId="0" shapeId="0" xr:uid="{05E1F3FF-1B0D-4248-B121-2E479645A2FF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Levered beta / (1 + (1 - tax rate) * (Debt / Equity) </t>
        </r>
      </text>
    </comment>
    <comment ref="I29" authorId="0" shapeId="0" xr:uid="{D3D67BFA-5160-4A9C-952B-C420045BA805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Levered beta / (1 + (1 - tax rate) * (Debt / Equity) </t>
        </r>
      </text>
    </comment>
    <comment ref="I30" authorId="0" shapeId="0" xr:uid="{79034C67-84CC-45F3-A1FE-76C8AC486380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Levered beta / (1 + (1 - tax rate) * (Debt / Equity) </t>
        </r>
      </text>
    </comment>
    <comment ref="E33" authorId="0" shapeId="0" xr:uid="{C99304A8-D41F-4BB7-A3F2-A0C1FA9D51F6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Unlevered Beta * (1 + (1-tax rate) * (Debt / Equity))</t>
        </r>
      </text>
    </comment>
    <comment ref="I36" authorId="0" shapeId="0" xr:uid="{643AFE5E-3E12-4EDE-A23D-2D81FBF619C7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Levered beta / (1 + (1 - tax rate) * (Debt / Equity)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E7" authorId="0" shapeId="0" xr:uid="{B47B9BD5-B6CF-4BF4-BB51-8FCA31E4772A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  <comment ref="E12" authorId="0" shapeId="0" xr:uid="{ECEB60FE-10F0-476D-9277-17D9C7DD3C02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 pg 16</t>
        </r>
      </text>
    </comment>
  </commentList>
</comments>
</file>

<file path=xl/sharedStrings.xml><?xml version="1.0" encoding="utf-8"?>
<sst xmlns="http://schemas.openxmlformats.org/spreadsheetml/2006/main" count="806" uniqueCount="365">
  <si>
    <t>Cover</t>
  </si>
  <si>
    <t>x</t>
  </si>
  <si>
    <t>Notes</t>
  </si>
  <si>
    <t>https://youtu.be/nyot7FkYoqM</t>
  </si>
  <si>
    <t>YouTube</t>
  </si>
  <si>
    <t>https://www.youtube.com/@rareliquid</t>
  </si>
  <si>
    <t>Instagram</t>
  </si>
  <si>
    <t>https://www.instagram.com/rareliquid</t>
  </si>
  <si>
    <t>TikTok</t>
  </si>
  <si>
    <t>https://www.tiktok.com/@rareliquid</t>
  </si>
  <si>
    <t>LinkedIn</t>
  </si>
  <si>
    <t>https://www.linkedin.com/in/benchon</t>
  </si>
  <si>
    <t>Assumptions</t>
  </si>
  <si>
    <t>Ticker</t>
  </si>
  <si>
    <t>Debt</t>
  </si>
  <si>
    <t>Enterprise Value</t>
  </si>
  <si>
    <t>Total</t>
  </si>
  <si>
    <t>Diluted Share Count Calculation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</si>
  <si>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</si>
  <si>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</si>
  <si>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</si>
  <si>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</si>
  <si>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</si>
  <si>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 xml:space="preserve">Dilutive impact of shares from other securities </t>
  </si>
  <si>
    <t>Net diluted shares outstanding</t>
  </si>
  <si>
    <t>Options outstanding</t>
  </si>
  <si>
    <t>Outstanding</t>
  </si>
  <si>
    <t>Exercise price</t>
  </si>
  <si>
    <t>Dilutive Shares</t>
  </si>
  <si>
    <t>Revenue</t>
  </si>
  <si>
    <t>% growth</t>
  </si>
  <si>
    <t>% of sales</t>
  </si>
  <si>
    <t>EBIT</t>
  </si>
  <si>
    <t>Interest Expense</t>
  </si>
  <si>
    <t>Taxes</t>
  </si>
  <si>
    <t>% tax rate</t>
  </si>
  <si>
    <t>Net Income</t>
  </si>
  <si>
    <t>--</t>
  </si>
  <si>
    <t>D&amp;A</t>
  </si>
  <si>
    <t>EBITDA</t>
  </si>
  <si>
    <t>CapEx</t>
  </si>
  <si>
    <t>- Sensitivity Tables</t>
  </si>
  <si>
    <t>% of CapEx</t>
  </si>
  <si>
    <t>Capital Expenditures</t>
  </si>
  <si>
    <t>Depreciation</t>
  </si>
  <si>
    <t>Net Change in Cash</t>
  </si>
  <si>
    <t>Simple DCF Tutorial</t>
  </si>
  <si>
    <t>- DCF Concepts</t>
  </si>
  <si>
    <t>- Projecting FCF</t>
  </si>
  <si>
    <t>- Terminal Value</t>
  </si>
  <si>
    <t>- Discounting to Present Value</t>
  </si>
  <si>
    <t>- Revenue Build</t>
  </si>
  <si>
    <t>- Sum-of-the-parts DCF</t>
  </si>
  <si>
    <t>- Terminal Value - Perpetuity and Exit Multiple</t>
  </si>
  <si>
    <t>- Diluted Shares</t>
  </si>
  <si>
    <t>- Mid-Year Convention</t>
  </si>
  <si>
    <t>- WACC</t>
  </si>
  <si>
    <t>- Levering / Unlevering Beta</t>
  </si>
  <si>
    <t>Amazon Advanced DCF - Part 1</t>
  </si>
  <si>
    <t>Amazon Advanced DCF - Part 2</t>
  </si>
  <si>
    <t>- Project FCF</t>
  </si>
  <si>
    <t>- Multiple Scenarios</t>
  </si>
  <si>
    <t>https://www.youtube.com/playlist?list=PL71QplJWp1RoaKEMTo_9CZA-kyjwT5rGo</t>
  </si>
  <si>
    <t>Cash Flow from Financing</t>
  </si>
  <si>
    <t>Cash Flow from Investing</t>
  </si>
  <si>
    <t>Cash Flow from Operations</t>
  </si>
  <si>
    <t>-</t>
  </si>
  <si>
    <t>Unlevered Free Cash Flow</t>
  </si>
  <si>
    <t>Free Cash Flow</t>
  </si>
  <si>
    <t>Dec '29E</t>
  </si>
  <si>
    <t>Dec '28E</t>
  </si>
  <si>
    <t>Dec '27E</t>
  </si>
  <si>
    <t>Dec '26E</t>
  </si>
  <si>
    <t>Dec '25E</t>
  </si>
  <si>
    <t>Dec '24E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</si>
  <si>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</si>
  <si>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</si>
  <si>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</si>
  <si>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</si>
  <si>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</si>
  <si>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</si>
  <si>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</si>
  <si>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</si>
  <si>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</si>
  <si>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</si>
  <si>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CY '29E</t>
  </si>
  <si>
    <t>CY '28E</t>
  </si>
  <si>
    <t>CY '27E</t>
  </si>
  <si>
    <t>CY '26E</t>
  </si>
  <si>
    <t>CY '25E</t>
  </si>
  <si>
    <t>CY '24E</t>
  </si>
  <si>
    <t>CY '23</t>
  </si>
  <si>
    <t>CY '22</t>
  </si>
  <si>
    <t>CY '21</t>
  </si>
  <si>
    <t>CY '20</t>
  </si>
  <si>
    <t>CY '19</t>
  </si>
  <si>
    <t>CY '18</t>
  </si>
  <si>
    <t>CY '17</t>
  </si>
  <si>
    <t>CY '16</t>
  </si>
  <si>
    <t>CY '15</t>
  </si>
  <si>
    <t>CY '14</t>
  </si>
  <si>
    <t>Cash Flow (M)</t>
  </si>
  <si>
    <t>AMZN-US</t>
  </si>
  <si>
    <t>AWS-Geo</t>
  </si>
  <si>
    <t>International</t>
  </si>
  <si>
    <t>North America</t>
  </si>
  <si>
    <t>WFM- Geo</t>
  </si>
  <si>
    <t>- NA Media</t>
  </si>
  <si>
    <t>Operating Income</t>
  </si>
  <si>
    <t>- NA Other</t>
  </si>
  <si>
    <t>Sales</t>
  </si>
  <si>
    <t>Geographic Segments (M)</t>
  </si>
  <si>
    <t>All figures in millions of U.S. Dollar except per share items.</t>
  </si>
  <si>
    <t>Free Cash Flow Yield (%)</t>
  </si>
  <si>
    <t>Free Cash Flow per Share</t>
  </si>
  <si>
    <t>Exchange Rate Effect</t>
  </si>
  <si>
    <t>All Activities</t>
  </si>
  <si>
    <t>Net Financing Cash Flow</t>
  </si>
  <si>
    <t>Other Sources</t>
  </si>
  <si>
    <t>Other Funds</t>
  </si>
  <si>
    <t>Reduction in Long-Term Debt</t>
  </si>
  <si>
    <t>Issuance of Long-Term Debt</t>
  </si>
  <si>
    <t>Change in Long-Term Debt</t>
  </si>
  <si>
    <t>Change in Current Debt</t>
  </si>
  <si>
    <t>Issuance/Reduction of Debt, Net</t>
  </si>
  <si>
    <t>Repurchase of Common &amp; Preferred Stk.</t>
  </si>
  <si>
    <t>Change in Capital Stock</t>
  </si>
  <si>
    <t>Financing Activities</t>
  </si>
  <si>
    <t>Net Investing Cash Flow</t>
  </si>
  <si>
    <t>Sale/Maturity of Investments</t>
  </si>
  <si>
    <t>Purchase of Investments</t>
  </si>
  <si>
    <t>Purchase/Sale of Investments</t>
  </si>
  <si>
    <t>Sale of Fixed Assets &amp; Businesses</t>
  </si>
  <si>
    <t>Net Assets from Acquisitions</t>
  </si>
  <si>
    <t>Capital Expenditures (Fixed Assets)</t>
  </si>
  <si>
    <t>Investing Activities</t>
  </si>
  <si>
    <t>Net Operating Cash Flow</t>
  </si>
  <si>
    <t>Other Assets/Liabilities</t>
  </si>
  <si>
    <t>Other Accruals</t>
  </si>
  <si>
    <t>Accounts Payable</t>
  </si>
  <si>
    <t>Inventories</t>
  </si>
  <si>
    <t>Receivables</t>
  </si>
  <si>
    <t>Changes in Working Capital</t>
  </si>
  <si>
    <t>Funds from Operations</t>
  </si>
  <si>
    <t>Deferred Taxes</t>
  </si>
  <si>
    <t>Deferred Taxes &amp; Investment Tax Credit</t>
  </si>
  <si>
    <t>Amortization of Intangible Assets</t>
  </si>
  <si>
    <t>Depreciation and Depletion</t>
  </si>
  <si>
    <t>Depreciation, Depletion &amp; Amortization</t>
  </si>
  <si>
    <t>Net Income / Starting Line</t>
  </si>
  <si>
    <t>Operating Activities</t>
  </si>
  <si>
    <t>LTM</t>
  </si>
  <si>
    <t>JUN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</si>
  <si>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</si>
  <si>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</si>
  <si>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</si>
  <si>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</si>
  <si>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</si>
  <si>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</si>
  <si>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</si>
  <si>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</si>
  <si>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</si>
  <si>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</si>
  <si>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Source: FactSet Fundamentals</t>
  </si>
  <si>
    <t xml:space="preserve">AMZN   023135106   2000019   NASDAQ    Common stock    </t>
  </si>
  <si>
    <t>Amazon.com, Inc.</t>
  </si>
  <si>
    <t>$172.12</t>
  </si>
  <si>
    <t>Amazon.com, Inc. (AMZN)</t>
  </si>
  <si>
    <t>Depreciation &amp; Amortization Expense</t>
  </si>
  <si>
    <t>Earnings Persistence</t>
  </si>
  <si>
    <t>Total Shares Outstanding</t>
  </si>
  <si>
    <t>Diluted Shares Outstanding</t>
  </si>
  <si>
    <t>EPS (diluted)</t>
  </si>
  <si>
    <t>Basic Shares Outstanding</t>
  </si>
  <si>
    <t>EPS (basic)</t>
  </si>
  <si>
    <t>EPS (recurring)</t>
  </si>
  <si>
    <t>Per Share</t>
  </si>
  <si>
    <t>Net Income available to Common</t>
  </si>
  <si>
    <t>Consolidated Net Income</t>
  </si>
  <si>
    <t>Equity in Earnings of Affiliates</t>
  </si>
  <si>
    <t>Income Taxes - Deferred Foreign</t>
  </si>
  <si>
    <t>Income Taxes - Deferred Domestic</t>
  </si>
  <si>
    <t>Income Taxes - Current Foreign</t>
  </si>
  <si>
    <t>Income Taxes - Current Domestic</t>
  </si>
  <si>
    <t>Income Taxes</t>
  </si>
  <si>
    <t>Pretax Income</t>
  </si>
  <si>
    <t>Hedges/Derivatives</t>
  </si>
  <si>
    <t>Investments</t>
  </si>
  <si>
    <t>Unrealized Valuation Gain/Loss</t>
  </si>
  <si>
    <t>Unusual Expense - Net</t>
  </si>
  <si>
    <t>Gross Interest Expense</t>
  </si>
  <si>
    <t>Other Income (Expense)</t>
  </si>
  <si>
    <t>Nonoperating Interest Income</t>
  </si>
  <si>
    <t>Nonoperating Income - Net</t>
  </si>
  <si>
    <t>EBIT (Operating Income)</t>
  </si>
  <si>
    <t>Other SG&amp;A</t>
  </si>
  <si>
    <t>Research &amp; Development</t>
  </si>
  <si>
    <t>SG&amp;A Expense</t>
  </si>
  <si>
    <t>Gross Income</t>
  </si>
  <si>
    <t>Amortization of Intangibles</t>
  </si>
  <si>
    <t>COGS excluding D&amp;A</t>
  </si>
  <si>
    <t>Cost of Goods Sold (COGS) incl. D&amp;A</t>
  </si>
  <si>
    <t>WACC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</si>
  <si>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</si>
  <si>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</si>
  <si>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</si>
  <si>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</si>
  <si>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</si>
  <si>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</si>
  <si>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</si>
  <si>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</si>
  <si>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% of Debt</t>
  </si>
  <si>
    <t>Cost of Debt</t>
  </si>
  <si>
    <t>Tax Rate</t>
  </si>
  <si>
    <t xml:space="preserve">    </t>
  </si>
  <si>
    <t>https://www.youtube.com/watch?v=hQfLWritg9s&amp;list=PL71QplJWp1RoobXOSA77YooScaVYmPojv</t>
  </si>
  <si>
    <t>AWS</t>
  </si>
  <si>
    <t>- Projections for Revenue and EBIT</t>
  </si>
  <si>
    <t>- EBIT Build</t>
  </si>
  <si>
    <t>% of total sales</t>
  </si>
  <si>
    <t>% of total EBIT</t>
  </si>
  <si>
    <t>Financials</t>
  </si>
  <si>
    <t>- Gather Historical Cash Flow Items</t>
  </si>
  <si>
    <t>Change in NWC</t>
  </si>
  <si>
    <t>% of change in sales</t>
  </si>
  <si>
    <t>EBIAT</t>
  </si>
  <si>
    <t>12/31 FYE</t>
  </si>
  <si>
    <t>Unlevered FCF</t>
  </si>
  <si>
    <t>Date</t>
  </si>
  <si>
    <t>End of Year</t>
  </si>
  <si>
    <t>AMZN</t>
  </si>
  <si>
    <t>TGR</t>
  </si>
  <si>
    <t>PV of UFCF</t>
  </si>
  <si>
    <t>Discount Period</t>
  </si>
  <si>
    <t>Stub</t>
  </si>
  <si>
    <t>Terminal Value</t>
  </si>
  <si>
    <t>PV of Terminal Value</t>
  </si>
  <si>
    <t>(+) Cash</t>
  </si>
  <si>
    <t>(-) Debt</t>
  </si>
  <si>
    <t>Equity Value</t>
  </si>
  <si>
    <t>FDSO</t>
  </si>
  <si>
    <t>Implied Share Price</t>
  </si>
  <si>
    <t>Current Stock Price</t>
  </si>
  <si>
    <t>https://youtube.com/live/fmoE3H8RjP4</t>
  </si>
  <si>
    <t>Amazon Advanced DCF - Part 3</t>
  </si>
  <si>
    <t>- Convertible bonds</t>
  </si>
  <si>
    <t>- Trading Comps</t>
  </si>
  <si>
    <t>Total D&amp;A</t>
  </si>
  <si>
    <t>% of total D&amp;A</t>
  </si>
  <si>
    <t>North America (Partial)</t>
  </si>
  <si>
    <t>International (Partial)</t>
  </si>
  <si>
    <t>AWS (Partial)</t>
  </si>
  <si>
    <t>Total D&amp;A (Partial)</t>
  </si>
  <si>
    <t>% of North America sales</t>
  </si>
  <si>
    <t>% of International sales</t>
  </si>
  <si>
    <t>% of AWS sales</t>
  </si>
  <si>
    <t>D&amp;A (for reference)</t>
  </si>
  <si>
    <t>% of total CapEx</t>
  </si>
  <si>
    <t>Total CapEx</t>
  </si>
  <si>
    <t>Total CapEx (Partial)</t>
  </si>
  <si>
    <t>CapEx (for reference)</t>
  </si>
  <si>
    <t>% of North America sales of total sales</t>
  </si>
  <si>
    <t>Net Working Capital</t>
  </si>
  <si>
    <t>% of International sales of total sales</t>
  </si>
  <si>
    <t>% of AWS sales of total sales</t>
  </si>
  <si>
    <t>Total Change in NWC</t>
  </si>
  <si>
    <t>North America DCF</t>
  </si>
  <si>
    <t>International DCF</t>
  </si>
  <si>
    <t>AWS DCF</t>
  </si>
  <si>
    <t>Consolidated DCF</t>
  </si>
  <si>
    <t>EBITDA multiple</t>
  </si>
  <si>
    <t>Implied terminal growth rate</t>
  </si>
  <si>
    <t>Total Enterprise Value (TEV)</t>
  </si>
  <si>
    <t>Terminal Growth Rate</t>
  </si>
  <si>
    <t>Terminal Value as % of TEV</t>
  </si>
  <si>
    <t>Implied TV Exit EBITDA Multiple</t>
  </si>
  <si>
    <t>Terminal Year EBITDA</t>
  </si>
  <si>
    <t>Perpetuity Growth</t>
  </si>
  <si>
    <t>Exit Multiple</t>
  </si>
  <si>
    <t>% Perpetuity</t>
  </si>
  <si>
    <t>% Exit Multiple</t>
  </si>
  <si>
    <t>Total Terminal Value</t>
  </si>
  <si>
    <t>Fully Diluted Shares</t>
  </si>
  <si>
    <t xml:space="preserve">Principal Outstanding </t>
  </si>
  <si>
    <t>Dilutive impact of convertible securities</t>
  </si>
  <si>
    <t>Elimination of liability from net debt</t>
  </si>
  <si>
    <t>Convertible Bonds</t>
  </si>
  <si>
    <t>Conversion Ratio</t>
  </si>
  <si>
    <t>Conversion Price</t>
  </si>
  <si>
    <t>Convertible Common Shares</t>
  </si>
  <si>
    <t>Net Debt</t>
  </si>
  <si>
    <t>Tax rate</t>
  </si>
  <si>
    <t>Levered Beta</t>
  </si>
  <si>
    <t>Unlevered Beta</t>
  </si>
  <si>
    <t>Amazon (AMZN) Levered Beta</t>
  </si>
  <si>
    <t>https://youtube.com/live/z9S9QNosrA4</t>
  </si>
  <si>
    <t>rareliquid - Comps Tables</t>
  </si>
  <si>
    <t>STRICTLY CONFIDENTIAL</t>
  </si>
  <si>
    <t>PLEASE DO NOT SEND THIS DATA TO ANYONE ELSE. RARELIQUID HAS A DISTRIBUTION AGREEMENT WITH FACTSET THAT DOES NOT ALLOW FOR THIS DATA TO BE DISTRIBUTED TO PARTIES WHO ARE NOT CLIENTS OF RARELIQUID.</t>
  </si>
  <si>
    <t>Currency</t>
  </si>
  <si>
    <t>USD</t>
  </si>
  <si>
    <t>1-Month</t>
  </si>
  <si>
    <t>3-Month</t>
  </si>
  <si>
    <t>6-Month</t>
  </si>
  <si>
    <t>Trading Multiples</t>
  </si>
  <si>
    <t>Premium (Discount) to Historical Multiples</t>
  </si>
  <si>
    <t>Market</t>
  </si>
  <si>
    <t>Enterprise</t>
  </si>
  <si>
    <t>Current</t>
  </si>
  <si>
    <t>52-Wk</t>
  </si>
  <si>
    <t>%-52-Wk</t>
  </si>
  <si>
    <t>Price</t>
  </si>
  <si>
    <t>Revenue Growth</t>
  </si>
  <si>
    <t>Gross Margin</t>
  </si>
  <si>
    <t>EBIT Margin</t>
  </si>
  <si>
    <t>EBITDA Margin</t>
  </si>
  <si>
    <t>Profit Margin</t>
  </si>
  <si>
    <t>EV / Revenue</t>
  </si>
  <si>
    <t>EV / Gross Profit</t>
  </si>
  <si>
    <t>EV / EBITDA</t>
  </si>
  <si>
    <t>P / E</t>
  </si>
  <si>
    <t>EV / NTM Revenue</t>
  </si>
  <si>
    <t>EV / NTM EBITDA</t>
  </si>
  <si>
    <t>Company Name</t>
  </si>
  <si>
    <t>Cap</t>
  </si>
  <si>
    <t>Value</t>
  </si>
  <si>
    <t>Low</t>
  </si>
  <si>
    <t>High</t>
  </si>
  <si>
    <t>Change</t>
  </si>
  <si>
    <t>'23-'24</t>
  </si>
  <si>
    <t>'24-'25</t>
  </si>
  <si>
    <t>'24</t>
  </si>
  <si>
    <t>'25</t>
  </si>
  <si>
    <t>1 year</t>
  </si>
  <si>
    <t>2 year</t>
  </si>
  <si>
    <t>5 year</t>
  </si>
  <si>
    <t>AAPL</t>
  </si>
  <si>
    <t>Apple Inc.</t>
  </si>
  <si>
    <t>NVDA</t>
  </si>
  <si>
    <t>NVIDIA Corporation</t>
  </si>
  <si>
    <t>MSFT</t>
  </si>
  <si>
    <t>Microsoft Corporation</t>
  </si>
  <si>
    <t>GOOGL</t>
  </si>
  <si>
    <t>Alphabet Inc. Class A</t>
  </si>
  <si>
    <t>META</t>
  </si>
  <si>
    <t>Meta Platforms Inc Class A</t>
  </si>
  <si>
    <t>WMT</t>
  </si>
  <si>
    <t>Walmart Inc.</t>
  </si>
  <si>
    <t>Mean</t>
  </si>
  <si>
    <t>Median</t>
  </si>
  <si>
    <t xml:space="preserve"> </t>
  </si>
  <si>
    <t>Operating Model</t>
  </si>
  <si>
    <t>Levered beta / (1 + (1 - tax rate) * (Debt / Equity)</t>
  </si>
  <si>
    <t>Industry Average Unlevered Beta</t>
  </si>
  <si>
    <t>Unlevered Beta * (1 + (1-tax rate) * (Debt / Equity))</t>
  </si>
  <si>
    <t>NOT IN USE</t>
  </si>
  <si>
    <t>Sensitivity Table</t>
  </si>
  <si>
    <t>https://youtube.com/live/Jh_oUKy4bPk</t>
  </si>
  <si>
    <t>Get 1:1 help to break into investment banking</t>
  </si>
  <si>
    <t>https://www.bankingaccelerator.com/</t>
  </si>
  <si>
    <t>Lots of free resources + sign up for my free weekly finance newsletter</t>
  </si>
  <si>
    <t>https://www.rareliquid.com/</t>
  </si>
  <si>
    <t>Investment Banking Videos</t>
  </si>
  <si>
    <t>Modeling Tutorial Videos</t>
  </si>
  <si>
    <t>rareliquid (the guy who created this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</si>
</sst>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_);\(#,##0.0\)"/>
    <numFmt numFmtId="165" formatCode="0.0%"/>
    <numFmt numFmtId="166" formatCode="#,##0.0_);\(#,##0.0\);@_)"/>
    <numFmt numFmtId="167" formatCode="&quot;Tranche&quot;\ 0"/>
    <numFmt numFmtId="168" formatCode="0&quot;A&quot;"/>
    <numFmt numFmtId="169" formatCode="0&quot;E&quot;"/>
    <numFmt numFmtId="170" formatCode="0.00000%"/>
    <numFmt numFmtId="171" formatCode="0%_);\(0%\);@_)"/>
    <numFmt numFmtId="172" formatCode="0.0\x"/>
    <numFmt numFmtId="173" formatCode="0.0\x_)"/>
    <numFmt numFmtId="174" formatCode="0.0%_);\(0.0%\);@_)"/>
    <numFmt numFmtId="175" formatCode="#,##0.000_);\(#,##0.000\)"/>
    <numFmt numFmtId="176" formatCode="0%;\(0%\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/>
    <xf numFmtId="0" fontId="6" fillId="0" borderId="0" applyNumberFormat="0" applyFill="0" applyBorder="0" applyAlignment="0" applyProtection="0"/>
  </cellStyleXfs>
  <cellXfs count="262">
    <xf numFmtId="0" fontId="0" fillId="0" borderId="0" xfId="0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/>
    <xf numFmtId="0" fontId="6" fillId="0" borderId="0" xfId="2"/>
    <xf numFmtId="0" fontId="0" fillId="0" borderId="0" xfId="0" quotePrefix="1"/>
    <xf numFmtId="0" fontId="2" fillId="3" borderId="0" xfId="0" applyFont="1" applyFill="1"/>
    <xf numFmtId="0" fontId="0" fillId="0" borderId="0" xfId="0" applyAlignment="1">
      <alignment horizontal="left" indent="1"/>
    </xf>
    <xf numFmtId="39" fontId="9" fillId="4" borderId="2" xfId="0" applyNumberFormat="1" applyFont="1" applyFill="1" applyBorder="1" applyAlignment="1">
      <alignment horizontal="right"/>
    </xf>
    <xf numFmtId="164" fontId="9" fillId="4" borderId="2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37" fontId="13" fillId="0" borderId="0" xfId="0" applyNumberFormat="1" applyFont="1" applyAlignment="1">
      <alignment horizontal="right"/>
    </xf>
    <xf numFmtId="37" fontId="0" fillId="0" borderId="0" xfId="0" applyNumberFormat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6" fontId="15" fillId="0" borderId="0" xfId="0" applyNumberFormat="1" applyFont="1"/>
    <xf numFmtId="166" fontId="0" fillId="0" borderId="0" xfId="0" applyNumberFormat="1"/>
    <xf numFmtId="166" fontId="7" fillId="0" borderId="0" xfId="0" applyNumberFormat="1" applyFont="1"/>
    <xf numFmtId="0" fontId="3" fillId="0" borderId="0" xfId="0" applyFont="1" applyAlignment="1">
      <alignment horizontal="left"/>
    </xf>
    <xf numFmtId="164" fontId="0" fillId="0" borderId="0" xfId="0" applyNumberFormat="1"/>
    <xf numFmtId="166" fontId="3" fillId="0" borderId="0" xfId="0" applyNumberFormat="1" applyFont="1"/>
    <xf numFmtId="167" fontId="0" fillId="0" borderId="0" xfId="0" applyNumberFormat="1" applyAlignment="1">
      <alignment horizontal="left"/>
    </xf>
    <xf numFmtId="0" fontId="0" fillId="0" borderId="0" xfId="0" applyAlignment="1">
      <alignment horizontal="right" indent="1"/>
    </xf>
    <xf numFmtId="167" fontId="0" fillId="0" borderId="1" xfId="0" applyNumberFormat="1" applyBorder="1" applyAlignment="1">
      <alignment horizontal="left"/>
    </xf>
    <xf numFmtId="164" fontId="9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1"/>
    </xf>
    <xf numFmtId="0" fontId="3" fillId="5" borderId="3" xfId="0" applyFont="1" applyFill="1" applyBorder="1"/>
    <xf numFmtId="0" fontId="3" fillId="5" borderId="4" xfId="0" applyFont="1" applyFill="1" applyBorder="1"/>
    <xf numFmtId="2" fontId="3" fillId="5" borderId="5" xfId="0" applyNumberFormat="1" applyFont="1" applyFill="1" applyBorder="1" applyAlignment="1">
      <alignment horizontal="right" indent="1"/>
    </xf>
    <xf numFmtId="39" fontId="0" fillId="0" borderId="0" xfId="0" applyNumberFormat="1"/>
    <xf numFmtId="37" fontId="16" fillId="0" borderId="0" xfId="0" applyNumberFormat="1" applyFont="1" applyAlignment="1">
      <alignment horizontal="right"/>
    </xf>
    <xf numFmtId="37" fontId="15" fillId="0" borderId="0" xfId="0" applyNumberFormat="1" applyFont="1" applyAlignment="1">
      <alignment horizontal="right"/>
    </xf>
    <xf numFmtId="168" fontId="2" fillId="3" borderId="0" xfId="0" applyNumberFormat="1" applyFont="1" applyFill="1"/>
    <xf numFmtId="169" fontId="2" fillId="3" borderId="0" xfId="0" applyNumberFormat="1" applyFont="1" applyFill="1"/>
    <xf numFmtId="0" fontId="3" fillId="5" borderId="6" xfId="0" applyFont="1" applyFill="1" applyBorder="1"/>
    <xf numFmtId="37" fontId="22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37" fontId="3" fillId="0" borderId="5" xfId="0" applyNumberFormat="1" applyFont="1" applyBorder="1"/>
    <xf numFmtId="0" fontId="8" fillId="0" borderId="0" xfId="0" applyFont="1"/>
    <xf numFmtId="0" fontId="23" fillId="0" borderId="0" xfId="3"/>
    <xf numFmtId="3" fontId="23" fillId="7" borderId="0" xfId="3" applyNumberFormat="1" applyFill="1" applyAlignment="1">
      <alignment horizontal="right"/>
    </xf>
    <xf numFmtId="3" fontId="24" fillId="7" borderId="0" xfId="3" applyNumberFormat="1" applyFont="1" applyFill="1" applyAlignment="1">
      <alignment horizontal="right"/>
    </xf>
    <xf numFmtId="0" fontId="23" fillId="7" borderId="0" xfId="3" applyFill="1" applyAlignment="1">
      <alignment horizontal="left"/>
    </xf>
    <xf numFmtId="3" fontId="24" fillId="0" borderId="0" xfId="3" applyNumberFormat="1" applyFont="1" applyAlignment="1">
      <alignment horizontal="right"/>
    </xf>
    <xf numFmtId="0" fontId="23" fillId="0" borderId="0" xfId="3" applyAlignment="1">
      <alignment horizontal="left"/>
    </xf>
    <xf numFmtId="3" fontId="23" fillId="0" borderId="0" xfId="3" applyNumberFormat="1" applyAlignment="1">
      <alignment horizontal="right"/>
    </xf>
    <xf numFmtId="0" fontId="25" fillId="8" borderId="0" xfId="3" applyFont="1" applyFill="1" applyAlignment="1">
      <alignment horizontal="left"/>
    </xf>
    <xf numFmtId="0" fontId="25" fillId="0" borderId="0" xfId="3" applyFont="1"/>
    <xf numFmtId="0" fontId="23" fillId="7" borderId="0" xfId="3" quotePrefix="1" applyFill="1" applyAlignment="1">
      <alignment horizontal="left"/>
    </xf>
    <xf numFmtId="0" fontId="23" fillId="0" borderId="0" xfId="3" quotePrefix="1" applyAlignment="1">
      <alignment horizontal="left"/>
    </xf>
    <xf numFmtId="0" fontId="26" fillId="0" borderId="0" xfId="3" applyFont="1" applyAlignment="1">
      <alignment horizontal="left"/>
    </xf>
    <xf numFmtId="4" fontId="23" fillId="0" borderId="0" xfId="3" applyNumberFormat="1" applyAlignment="1">
      <alignment horizontal="right"/>
    </xf>
    <xf numFmtId="4" fontId="24" fillId="0" borderId="0" xfId="3" applyNumberFormat="1" applyFont="1" applyAlignment="1">
      <alignment horizontal="right"/>
    </xf>
    <xf numFmtId="0" fontId="23" fillId="0" borderId="0" xfId="3" applyAlignment="1">
      <alignment horizontal="left" indent="4"/>
    </xf>
    <xf numFmtId="0" fontId="23" fillId="7" borderId="0" xfId="3" applyFill="1" applyAlignment="1">
      <alignment horizontal="left" indent="4"/>
    </xf>
    <xf numFmtId="3" fontId="27" fillId="0" borderId="0" xfId="3" applyNumberFormat="1" applyFont="1" applyAlignment="1">
      <alignment horizontal="right"/>
    </xf>
    <xf numFmtId="0" fontId="27" fillId="0" borderId="0" xfId="3" applyFont="1" applyAlignment="1">
      <alignment horizontal="left" indent="3"/>
    </xf>
    <xf numFmtId="0" fontId="23" fillId="7" borderId="0" xfId="3" applyFill="1" applyAlignment="1">
      <alignment horizontal="left" indent="1"/>
    </xf>
    <xf numFmtId="0" fontId="23" fillId="0" borderId="0" xfId="3" applyAlignment="1">
      <alignment horizontal="left" indent="1"/>
    </xf>
    <xf numFmtId="0" fontId="27" fillId="7" borderId="0" xfId="3" applyFont="1" applyFill="1" applyAlignment="1">
      <alignment horizontal="left"/>
    </xf>
    <xf numFmtId="0" fontId="23" fillId="7" borderId="0" xfId="3" applyFill="1" applyAlignment="1">
      <alignment horizontal="left" indent="7"/>
    </xf>
    <xf numFmtId="0" fontId="23" fillId="0" borderId="0" xfId="3" applyAlignment="1">
      <alignment horizontal="left" indent="7"/>
    </xf>
    <xf numFmtId="3" fontId="27" fillId="7" borderId="0" xfId="3" applyNumberFormat="1" applyFont="1" applyFill="1" applyAlignment="1">
      <alignment horizontal="right"/>
    </xf>
    <xf numFmtId="0" fontId="27" fillId="7" borderId="0" xfId="3" applyFont="1" applyFill="1" applyAlignment="1">
      <alignment horizontal="left" indent="6"/>
    </xf>
    <xf numFmtId="0" fontId="27" fillId="7" borderId="0" xfId="3" applyFont="1" applyFill="1" applyAlignment="1">
      <alignment horizontal="left" indent="3"/>
    </xf>
    <xf numFmtId="0" fontId="27" fillId="0" borderId="0" xfId="3" applyFont="1" applyAlignment="1">
      <alignment horizontal="left"/>
    </xf>
    <xf numFmtId="0" fontId="23" fillId="0" borderId="11" xfId="3" applyBorder="1"/>
    <xf numFmtId="0" fontId="23" fillId="0" borderId="12" xfId="3" applyBorder="1"/>
    <xf numFmtId="4" fontId="23" fillId="7" borderId="0" xfId="3" applyNumberFormat="1" applyFill="1" applyAlignment="1">
      <alignment horizontal="right"/>
    </xf>
    <xf numFmtId="4" fontId="27" fillId="0" borderId="0" xfId="3" applyNumberFormat="1" applyFont="1" applyAlignment="1">
      <alignment horizontal="right"/>
    </xf>
    <xf numFmtId="4" fontId="27" fillId="7" borderId="0" xfId="3" applyNumberFormat="1" applyFont="1" applyFill="1" applyAlignment="1">
      <alignment horizontal="right"/>
    </xf>
    <xf numFmtId="0" fontId="27" fillId="0" borderId="0" xfId="3" applyFont="1" applyAlignment="1">
      <alignment horizontal="left" indent="6"/>
    </xf>
    <xf numFmtId="0" fontId="2" fillId="9" borderId="0" xfId="0" applyFont="1" applyFill="1"/>
    <xf numFmtId="0" fontId="0" fillId="9" borderId="0" xfId="0" applyFill="1"/>
    <xf numFmtId="3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6" borderId="2" xfId="0" applyNumberFormat="1" applyFill="1" applyBorder="1" applyAlignment="1">
      <alignment horizontal="right"/>
    </xf>
    <xf numFmtId="170" fontId="0" fillId="0" borderId="0" xfId="0" applyNumberFormat="1"/>
    <xf numFmtId="3" fontId="0" fillId="6" borderId="2" xfId="0" applyNumberFormat="1" applyFill="1" applyBorder="1" applyAlignment="1">
      <alignment horizontal="right"/>
    </xf>
    <xf numFmtId="0" fontId="23" fillId="0" borderId="0" xfId="3" applyAlignment="1">
      <alignment horizontal="right"/>
    </xf>
    <xf numFmtId="0" fontId="23" fillId="7" borderId="0" xfId="3" applyFill="1" applyAlignment="1">
      <alignment horizontal="right"/>
    </xf>
    <xf numFmtId="0" fontId="25" fillId="0" borderId="0" xfId="3" applyFont="1" applyAlignment="1">
      <alignment horizontal="left"/>
    </xf>
    <xf numFmtId="3" fontId="25" fillId="0" borderId="0" xfId="3" applyNumberFormat="1" applyFont="1" applyAlignment="1">
      <alignment horizontal="right"/>
    </xf>
    <xf numFmtId="0" fontId="25" fillId="7" borderId="0" xfId="3" applyFont="1" applyFill="1" applyAlignment="1">
      <alignment horizontal="left"/>
    </xf>
    <xf numFmtId="3" fontId="25" fillId="7" borderId="0" xfId="3" applyNumberFormat="1" applyFont="1" applyFill="1" applyAlignment="1">
      <alignment horizontal="right"/>
    </xf>
    <xf numFmtId="0" fontId="0" fillId="2" borderId="0" xfId="0" applyFill="1"/>
    <xf numFmtId="3" fontId="16" fillId="0" borderId="0" xfId="0" applyNumberFormat="1" applyFont="1"/>
    <xf numFmtId="3" fontId="16" fillId="0" borderId="0" xfId="0" applyNumberFormat="1" applyFont="1" applyAlignment="1">
      <alignment horizontal="right"/>
    </xf>
    <xf numFmtId="3" fontId="3" fillId="5" borderId="7" xfId="0" applyNumberFormat="1" applyFont="1" applyFill="1" applyBorder="1"/>
    <xf numFmtId="3" fontId="3" fillId="5" borderId="8" xfId="0" applyNumberFormat="1" applyFont="1" applyFill="1" applyBorder="1"/>
    <xf numFmtId="0" fontId="21" fillId="5" borderId="9" xfId="0" applyFont="1" applyFill="1" applyBorder="1"/>
    <xf numFmtId="9" fontId="20" fillId="5" borderId="1" xfId="1" applyFont="1" applyFill="1" applyBorder="1" applyAlignment="1">
      <alignment horizontal="right"/>
    </xf>
    <xf numFmtId="9" fontId="20" fillId="5" borderId="1" xfId="1" applyFont="1" applyFill="1" applyBorder="1"/>
    <xf numFmtId="9" fontId="20" fillId="5" borderId="10" xfId="1" applyFont="1" applyFill="1" applyBorder="1"/>
    <xf numFmtId="37" fontId="16" fillId="0" borderId="0" xfId="0" applyNumberFormat="1" applyFont="1"/>
    <xf numFmtId="9" fontId="20" fillId="5" borderId="10" xfId="1" applyFont="1" applyFill="1" applyBorder="1" applyAlignment="1">
      <alignment horizontal="right"/>
    </xf>
    <xf numFmtId="171" fontId="17" fillId="0" borderId="0" xfId="1" applyNumberFormat="1" applyFont="1"/>
    <xf numFmtId="171" fontId="19" fillId="0" borderId="0" xfId="1" applyNumberFormat="1" applyFont="1"/>
    <xf numFmtId="171" fontId="17" fillId="0" borderId="0" xfId="1" applyNumberFormat="1" applyFont="1" applyAlignment="1">
      <alignment horizontal="right"/>
    </xf>
    <xf numFmtId="0" fontId="0" fillId="0" borderId="0" xfId="0" quotePrefix="1" applyAlignment="1">
      <alignment horizontal="right"/>
    </xf>
    <xf numFmtId="171" fontId="19" fillId="0" borderId="0" xfId="0" applyNumberFormat="1" applyFont="1"/>
    <xf numFmtId="171" fontId="18" fillId="0" borderId="0" xfId="1" applyNumberFormat="1" applyFont="1"/>
    <xf numFmtId="37" fontId="3" fillId="0" borderId="4" xfId="0" applyNumberFormat="1" applyFont="1" applyBorder="1"/>
    <xf numFmtId="165" fontId="1" fillId="0" borderId="0" xfId="1" applyNumberFormat="1" applyFont="1"/>
    <xf numFmtId="0" fontId="0" fillId="6" borderId="2" xfId="0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10" fontId="16" fillId="6" borderId="2" xfId="0" applyNumberFormat="1" applyFont="1" applyFill="1" applyBorder="1" applyAlignment="1">
      <alignment horizontal="center"/>
    </xf>
    <xf numFmtId="10" fontId="7" fillId="6" borderId="2" xfId="0" applyNumberFormat="1" applyFont="1" applyFill="1" applyBorder="1" applyAlignment="1">
      <alignment horizontal="center"/>
    </xf>
    <xf numFmtId="2" fontId="0" fillId="0" borderId="0" xfId="0" applyNumberFormat="1"/>
    <xf numFmtId="0" fontId="3" fillId="0" borderId="6" xfId="0" applyFont="1" applyBorder="1"/>
    <xf numFmtId="0" fontId="3" fillId="0" borderId="7" xfId="0" applyFont="1" applyBorder="1"/>
    <xf numFmtId="37" fontId="3" fillId="0" borderId="7" xfId="0" applyNumberFormat="1" applyFont="1" applyBorder="1"/>
    <xf numFmtId="37" fontId="3" fillId="0" borderId="8" xfId="0" applyNumberFormat="1" applyFont="1" applyBorder="1"/>
    <xf numFmtId="0" fontId="3" fillId="0" borderId="9" xfId="0" applyFont="1" applyBorder="1"/>
    <xf numFmtId="0" fontId="3" fillId="0" borderId="1" xfId="0" applyFont="1" applyBorder="1"/>
    <xf numFmtId="37" fontId="3" fillId="0" borderId="1" xfId="0" applyNumberFormat="1" applyFont="1" applyBorder="1"/>
    <xf numFmtId="37" fontId="3" fillId="0" borderId="10" xfId="0" applyNumberFormat="1" applyFont="1" applyBorder="1"/>
    <xf numFmtId="37" fontId="7" fillId="0" borderId="0" xfId="0" applyNumberFormat="1" applyFont="1" applyAlignment="1">
      <alignment horizontal="right"/>
    </xf>
    <xf numFmtId="37" fontId="13" fillId="0" borderId="0" xfId="0" applyNumberFormat="1" applyFont="1"/>
    <xf numFmtId="171" fontId="15" fillId="0" borderId="0" xfId="0" applyNumberFormat="1" applyFont="1"/>
    <xf numFmtId="171" fontId="13" fillId="10" borderId="0" xfId="0" applyNumberFormat="1" applyFont="1" applyFill="1"/>
    <xf numFmtId="0" fontId="3" fillId="0" borderId="0" xfId="0" applyFont="1"/>
    <xf numFmtId="37" fontId="3" fillId="0" borderId="0" xfId="0" applyNumberFormat="1" applyFont="1"/>
    <xf numFmtId="0" fontId="3" fillId="5" borderId="7" xfId="0" applyFont="1" applyFill="1" applyBorder="1"/>
    <xf numFmtId="37" fontId="3" fillId="5" borderId="7" xfId="0" applyNumberFormat="1" applyFont="1" applyFill="1" applyBorder="1"/>
    <xf numFmtId="0" fontId="3" fillId="5" borderId="9" xfId="0" applyFont="1" applyFill="1" applyBorder="1"/>
    <xf numFmtId="0" fontId="3" fillId="5" borderId="1" xfId="0" applyFont="1" applyFill="1" applyBorder="1"/>
    <xf numFmtId="37" fontId="3" fillId="5" borderId="1" xfId="0" applyNumberFormat="1" applyFont="1" applyFill="1" applyBorder="1"/>
    <xf numFmtId="0" fontId="0" fillId="5" borderId="1" xfId="0" applyFill="1" applyBorder="1"/>
    <xf numFmtId="0" fontId="0" fillId="5" borderId="10" xfId="0" applyFill="1" applyBorder="1"/>
    <xf numFmtId="37" fontId="28" fillId="5" borderId="7" xfId="0" applyNumberFormat="1" applyFont="1" applyFill="1" applyBorder="1" applyAlignment="1">
      <alignment horizontal="right"/>
    </xf>
    <xf numFmtId="37" fontId="29" fillId="5" borderId="7" xfId="0" applyNumberFormat="1" applyFont="1" applyFill="1" applyBorder="1" applyAlignment="1">
      <alignment horizontal="right"/>
    </xf>
    <xf numFmtId="37" fontId="29" fillId="5" borderId="8" xfId="0" applyNumberFormat="1" applyFont="1" applyFill="1" applyBorder="1" applyAlignment="1">
      <alignment horizontal="right"/>
    </xf>
    <xf numFmtId="0" fontId="21" fillId="5" borderId="13" xfId="0" applyFont="1" applyFill="1" applyBorder="1"/>
    <xf numFmtId="171" fontId="20" fillId="5" borderId="0" xfId="1" applyNumberFormat="1" applyFont="1" applyFill="1" applyBorder="1"/>
    <xf numFmtId="171" fontId="30" fillId="5" borderId="0" xfId="0" applyNumberFormat="1" applyFont="1" applyFill="1"/>
    <xf numFmtId="171" fontId="30" fillId="5" borderId="14" xfId="0" applyNumberFormat="1" applyFont="1" applyFill="1" applyBorder="1"/>
    <xf numFmtId="171" fontId="20" fillId="5" borderId="1" xfId="1" applyNumberFormat="1" applyFont="1" applyFill="1" applyBorder="1"/>
    <xf numFmtId="0" fontId="21" fillId="5" borderId="1" xfId="0" applyFont="1" applyFill="1" applyBorder="1"/>
    <xf numFmtId="0" fontId="3" fillId="5" borderId="10" xfId="0" applyFont="1" applyFill="1" applyBorder="1"/>
    <xf numFmtId="0" fontId="3" fillId="5" borderId="0" xfId="0" applyFont="1" applyFill="1"/>
    <xf numFmtId="171" fontId="21" fillId="5" borderId="0" xfId="1" applyNumberFormat="1" applyFont="1" applyFill="1" applyBorder="1"/>
    <xf numFmtId="171" fontId="30" fillId="5" borderId="1" xfId="0" applyNumberFormat="1" applyFont="1" applyFill="1" applyBorder="1"/>
    <xf numFmtId="171" fontId="30" fillId="5" borderId="10" xfId="0" applyNumberFormat="1" applyFont="1" applyFill="1" applyBorder="1"/>
    <xf numFmtId="171" fontId="21" fillId="5" borderId="1" xfId="1" applyNumberFormat="1" applyFont="1" applyFill="1" applyBorder="1"/>
    <xf numFmtId="0" fontId="3" fillId="5" borderId="1" xfId="0" quotePrefix="1" applyFont="1" applyFill="1" applyBorder="1" applyAlignment="1">
      <alignment horizontal="right"/>
    </xf>
    <xf numFmtId="37" fontId="3" fillId="5" borderId="8" xfId="0" applyNumberFormat="1" applyFont="1" applyFill="1" applyBorder="1"/>
    <xf numFmtId="171" fontId="21" fillId="5" borderId="14" xfId="1" applyNumberFormat="1" applyFont="1" applyFill="1" applyBorder="1"/>
    <xf numFmtId="37" fontId="3" fillId="5" borderId="10" xfId="0" applyNumberFormat="1" applyFont="1" applyFill="1" applyBorder="1"/>
    <xf numFmtId="171" fontId="21" fillId="5" borderId="10" xfId="1" applyNumberFormat="1" applyFont="1" applyFill="1" applyBorder="1"/>
    <xf numFmtId="171" fontId="31" fillId="0" borderId="0" xfId="1" applyNumberFormat="1" applyFont="1"/>
    <xf numFmtId="2" fontId="16" fillId="0" borderId="0" xfId="0" applyNumberFormat="1" applyFont="1"/>
    <xf numFmtId="0" fontId="16" fillId="0" borderId="0" xfId="0" applyFont="1"/>
    <xf numFmtId="37" fontId="28" fillId="0" borderId="4" xfId="0" applyNumberFormat="1" applyFont="1" applyBorder="1"/>
    <xf numFmtId="37" fontId="28" fillId="0" borderId="5" xfId="0" applyNumberFormat="1" applyFont="1" applyBorder="1"/>
    <xf numFmtId="37" fontId="28" fillId="0" borderId="7" xfId="0" applyNumberFormat="1" applyFont="1" applyBorder="1"/>
    <xf numFmtId="37" fontId="28" fillId="0" borderId="8" xfId="0" applyNumberFormat="1" applyFont="1" applyBorder="1"/>
    <xf numFmtId="37" fontId="28" fillId="0" borderId="1" xfId="0" applyNumberFormat="1" applyFont="1" applyBorder="1"/>
    <xf numFmtId="37" fontId="28" fillId="0" borderId="10" xfId="0" applyNumberFormat="1" applyFont="1" applyBorder="1"/>
    <xf numFmtId="171" fontId="31" fillId="0" borderId="0" xfId="1" quotePrefix="1" applyNumberFormat="1" applyFont="1"/>
    <xf numFmtId="37" fontId="7" fillId="0" borderId="0" xfId="0" applyNumberFormat="1" applyFont="1"/>
    <xf numFmtId="37" fontId="33" fillId="0" borderId="0" xfId="0" applyNumberFormat="1" applyFont="1"/>
    <xf numFmtId="2" fontId="0" fillId="0" borderId="0" xfId="0" applyNumberFormat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37" fontId="9" fillId="4" borderId="2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right"/>
    </xf>
    <xf numFmtId="0" fontId="13" fillId="0" borderId="0" xfId="0" applyFont="1"/>
    <xf numFmtId="175" fontId="13" fillId="0" borderId="0" xfId="0" applyNumberFormat="1" applyFont="1"/>
    <xf numFmtId="174" fontId="13" fillId="0" borderId="0" xfId="0" applyNumberFormat="1" applyFont="1"/>
    <xf numFmtId="0" fontId="32" fillId="0" borderId="0" xfId="0" applyFont="1"/>
    <xf numFmtId="175" fontId="32" fillId="0" borderId="0" xfId="0" applyNumberFormat="1" applyFont="1"/>
    <xf numFmtId="0" fontId="34" fillId="0" borderId="0" xfId="0" applyFont="1" applyAlignment="1">
      <alignment horizontal="center"/>
    </xf>
    <xf numFmtId="0" fontId="35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6" fillId="0" borderId="0" xfId="0" applyFont="1"/>
    <xf numFmtId="0" fontId="35" fillId="0" borderId="0" xfId="0" applyFont="1"/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36" fillId="11" borderId="0" xfId="0" applyFont="1" applyFill="1" applyAlignment="1">
      <alignment vertical="center"/>
    </xf>
    <xf numFmtId="0" fontId="0" fillId="11" borderId="0" xfId="0" applyFill="1" applyAlignment="1">
      <alignment horizontal="right" vertical="center"/>
    </xf>
    <xf numFmtId="0" fontId="36" fillId="11" borderId="0" xfId="0" applyFont="1" applyFill="1" applyAlignment="1">
      <alignment horizontal="center" vertical="center"/>
    </xf>
    <xf numFmtId="0" fontId="40" fillId="11" borderId="0" xfId="0" applyFont="1" applyFill="1" applyAlignment="1">
      <alignment horizontal="centerContinuous" vertical="center"/>
    </xf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horizontal="center" vertical="center"/>
    </xf>
    <xf numFmtId="0" fontId="36" fillId="11" borderId="1" xfId="0" quotePrefix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41" fillId="0" borderId="0" xfId="0" applyFont="1" applyAlignment="1">
      <alignment horizontal="left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76" fontId="0" fillId="0" borderId="0" xfId="1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0" fontId="41" fillId="0" borderId="0" xfId="0" applyFont="1"/>
    <xf numFmtId="0" fontId="36" fillId="12" borderId="6" xfId="0" applyFont="1" applyFill="1" applyBorder="1"/>
    <xf numFmtId="0" fontId="0" fillId="12" borderId="7" xfId="0" applyFill="1" applyBorder="1"/>
    <xf numFmtId="176" fontId="36" fillId="12" borderId="7" xfId="0" applyNumberFormat="1" applyFont="1" applyFill="1" applyBorder="1" applyAlignment="1">
      <alignment horizontal="center"/>
    </xf>
    <xf numFmtId="172" fontId="36" fillId="12" borderId="7" xfId="0" applyNumberFormat="1" applyFont="1" applyFill="1" applyBorder="1" applyAlignment="1">
      <alignment horizontal="center"/>
    </xf>
    <xf numFmtId="176" fontId="36" fillId="12" borderId="7" xfId="1" applyNumberFormat="1" applyFont="1" applyFill="1" applyBorder="1" applyAlignment="1">
      <alignment horizontal="center"/>
    </xf>
    <xf numFmtId="176" fontId="36" fillId="12" borderId="8" xfId="1" applyNumberFormat="1" applyFont="1" applyFill="1" applyBorder="1" applyAlignment="1">
      <alignment horizontal="center"/>
    </xf>
    <xf numFmtId="0" fontId="36" fillId="12" borderId="9" xfId="0" applyFont="1" applyFill="1" applyBorder="1"/>
    <xf numFmtId="0" fontId="0" fillId="12" borderId="1" xfId="0" applyFill="1" applyBorder="1"/>
    <xf numFmtId="176" fontId="36" fillId="12" borderId="1" xfId="0" applyNumberFormat="1" applyFont="1" applyFill="1" applyBorder="1" applyAlignment="1">
      <alignment horizontal="center"/>
    </xf>
    <xf numFmtId="172" fontId="36" fillId="12" borderId="1" xfId="0" applyNumberFormat="1" applyFont="1" applyFill="1" applyBorder="1" applyAlignment="1">
      <alignment horizontal="center"/>
    </xf>
    <xf numFmtId="176" fontId="36" fillId="12" borderId="1" xfId="1" applyNumberFormat="1" applyFont="1" applyFill="1" applyBorder="1" applyAlignment="1">
      <alignment horizontal="center"/>
    </xf>
    <xf numFmtId="176" fontId="36" fillId="12" borderId="10" xfId="1" applyNumberFormat="1" applyFont="1" applyFill="1" applyBorder="1" applyAlignment="1">
      <alignment horizontal="center"/>
    </xf>
    <xf numFmtId="10" fontId="15" fillId="0" borderId="0" xfId="0" applyNumberFormat="1" applyFont="1"/>
    <xf numFmtId="37" fontId="13" fillId="0" borderId="1" xfId="0" applyNumberFormat="1" applyFont="1" applyBorder="1" applyAlignment="1">
      <alignment horizontal="right"/>
    </xf>
    <xf numFmtId="10" fontId="13" fillId="0" borderId="0" xfId="0" applyNumberFormat="1" applyFont="1"/>
    <xf numFmtId="9" fontId="13" fillId="0" borderId="0" xfId="0" applyNumberFormat="1" applyFont="1"/>
    <xf numFmtId="173" fontId="0" fillId="0" borderId="0" xfId="0" applyNumberFormat="1"/>
    <xf numFmtId="37" fontId="0" fillId="0" borderId="1" xfId="0" applyNumberFormat="1" applyBorder="1"/>
    <xf numFmtId="165" fontId="7" fillId="6" borderId="2" xfId="0" applyNumberFormat="1" applyFont="1" applyFill="1" applyBorder="1" applyAlignment="1">
      <alignment horizontal="right"/>
    </xf>
    <xf numFmtId="165" fontId="13" fillId="6" borderId="2" xfId="0" applyNumberFormat="1" applyFont="1" applyFill="1" applyBorder="1" applyAlignment="1">
      <alignment horizontal="right"/>
    </xf>
    <xf numFmtId="173" fontId="16" fillId="0" borderId="0" xfId="0" applyNumberFormat="1" applyFont="1"/>
    <xf numFmtId="0" fontId="7" fillId="6" borderId="2" xfId="0" applyFont="1" applyFill="1" applyBorder="1" applyAlignment="1">
      <alignment horizontal="right"/>
    </xf>
    <xf numFmtId="37" fontId="15" fillId="0" borderId="0" xfId="0" applyNumberFormat="1" applyFont="1"/>
    <xf numFmtId="0" fontId="2" fillId="3" borderId="0" xfId="0" applyFont="1" applyFill="1" applyAlignment="1">
      <alignment horizontal="right" wrapText="1"/>
    </xf>
    <xf numFmtId="3" fontId="7" fillId="6" borderId="2" xfId="0" applyNumberFormat="1" applyFont="1" applyFill="1" applyBorder="1" applyAlignment="1">
      <alignment horizontal="right"/>
    </xf>
    <xf numFmtId="175" fontId="15" fillId="6" borderId="2" xfId="0" applyNumberFormat="1" applyFont="1" applyFill="1" applyBorder="1" applyAlignment="1">
      <alignment horizontal="right"/>
    </xf>
    <xf numFmtId="39" fontId="16" fillId="4" borderId="2" xfId="0" applyNumberFormat="1" applyFont="1" applyFill="1" applyBorder="1" applyAlignment="1">
      <alignment horizontal="right"/>
    </xf>
    <xf numFmtId="0" fontId="0" fillId="5" borderId="6" xfId="0" applyFill="1" applyBorder="1"/>
    <xf numFmtId="0" fontId="0" fillId="5" borderId="4" xfId="0" applyFill="1" applyBorder="1" applyAlignment="1">
      <alignment horizontal="centerContinuous"/>
    </xf>
    <xf numFmtId="0" fontId="0" fillId="5" borderId="5" xfId="0" applyFill="1" applyBorder="1" applyAlignment="1">
      <alignment horizontal="centerContinuous"/>
    </xf>
    <xf numFmtId="10" fontId="0" fillId="5" borderId="0" xfId="0" applyNumberFormat="1" applyFill="1"/>
    <xf numFmtId="10" fontId="0" fillId="5" borderId="14" xfId="0" applyNumberFormat="1" applyFill="1" applyBorder="1"/>
    <xf numFmtId="0" fontId="0" fillId="5" borderId="15" xfId="0" applyFill="1" applyBorder="1"/>
    <xf numFmtId="10" fontId="0" fillId="5" borderId="0" xfId="1" applyNumberFormat="1" applyFont="1" applyFill="1" applyBorder="1"/>
    <xf numFmtId="0" fontId="0" fillId="5" borderId="15" xfId="0" applyFill="1" applyBorder="1" applyAlignment="1">
      <alignment horizontal="center"/>
    </xf>
    <xf numFmtId="0" fontId="0" fillId="5" borderId="16" xfId="0" applyFill="1" applyBorder="1"/>
    <xf numFmtId="10" fontId="0" fillId="5" borderId="1" xfId="1" applyNumberFormat="1" applyFont="1" applyFill="1" applyBorder="1"/>
    <xf numFmtId="39" fontId="42" fillId="5" borderId="0" xfId="0" applyNumberFormat="1" applyFont="1" applyFill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9" xfId="0" applyNumberFormat="1" applyBorder="1"/>
    <xf numFmtId="2" fontId="0" fillId="0" borderId="1" xfId="0" applyNumberFormat="1" applyBorder="1"/>
    <xf numFmtId="2" fontId="0" fillId="0" borderId="10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9" xfId="0" applyNumberFormat="1" applyBorder="1"/>
    <xf numFmtId="3" fontId="0" fillId="0" borderId="1" xfId="0" applyNumberFormat="1" applyBorder="1"/>
    <xf numFmtId="3" fontId="0" fillId="0" borderId="10" xfId="0" applyNumberFormat="1" applyBorder="1"/>
    <xf numFmtId="37" fontId="28" fillId="0" borderId="0" xfId="0" applyNumberFormat="1" applyFont="1" applyAlignment="1">
      <alignment horizontal="right"/>
    </xf>
    <xf numFmtId="0" fontId="6" fillId="0" borderId="0" xfId="4"/>
  </cellXfs>
  <cellStyles count="5">
    <cellStyle name="Hyperlink" xfId="2" builtinId="8"/>
    <cellStyle name="Hyperlink 2" xfId="4" xr:uid="{1F732F11-5262-1744-9168-C14F8B2C8C94}"/>
    <cellStyle name="Normal" xfId="0" builtinId="0"/>
    <cellStyle name="Normal 2" xfId="3" xr:uid="{050E5AFE-B2D3-41EB-98AB-FB21231BE172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Models/DCF/Models/LBOs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>
        <row r="6">
          <cell r="E6" t="str">
            <v>OFF</v>
          </cell>
        </row>
        <row r="7">
          <cell r="E7">
            <v>2</v>
          </cell>
        </row>
        <row r="8">
          <cell r="E8">
            <v>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live/z9S9QNosrA4" TargetMode="External"/><Relationship Id="rId7" Type="http://schemas.openxmlformats.org/officeDocument/2006/relationships/hyperlink" Target="https://www.rareliquid.com/" TargetMode="External"/><Relationship Id="rId2" Type="http://schemas.openxmlformats.org/officeDocument/2006/relationships/hyperlink" Target="https://youtube.com/live/fmoE3H8RjP4" TargetMode="External"/><Relationship Id="rId1" Type="http://schemas.openxmlformats.org/officeDocument/2006/relationships/hyperlink" Target="https://youtu.be/nyot7FkYoqM" TargetMode="External"/><Relationship Id="rId6" Type="http://schemas.openxmlformats.org/officeDocument/2006/relationships/hyperlink" Target="https://www.bankingaccelerator.com/" TargetMode="External"/><Relationship Id="rId5" Type="http://schemas.openxmlformats.org/officeDocument/2006/relationships/hyperlink" Target="https://www.youtube.com/watch?v=hQfLWritg9s&amp;list=PL71QplJWp1RoobXOSA77YooScaVYmPojv" TargetMode="External"/><Relationship Id="rId4" Type="http://schemas.openxmlformats.org/officeDocument/2006/relationships/hyperlink" Target="https://www.youtube.com/playlist?list=PL71QplJWp1RoaKEMTo_9CZA-kyjwT5rG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27E3-42CC-4708-873A-E7EFFE7560BD}">
  <dimension ref="A2:X25"/>
  <sheetViews>
    <sheetView showGridLines="0" tabSelected="1" zoomScale="150" zoomScaleNormal="150" workbookViewId="0"/>
  </sheetViews>
  <sheetFormatPr baseColWidth="10" defaultColWidth="8.83203125" defaultRowHeight="15" x14ac:dyDescent="0.2"/>
  <cols>
    <col min="1" max="1" width="3.5" style="4" customWidth="1"/>
  </cols>
  <sheetData>
    <row r="2" spans="1:24" s="3" customFormat="1" ht="21" x14ac:dyDescent="0.25">
      <c r="A2" s="1"/>
      <c r="B2" s="2" t="s">
        <v>0</v>
      </c>
    </row>
    <row r="4" spans="1:24" x14ac:dyDescent="0.2">
      <c r="A4" s="4" t="s">
        <v>1</v>
      </c>
      <c r="B4" s="5" t="s">
        <v>46</v>
      </c>
      <c r="C4" s="5"/>
      <c r="D4" s="5"/>
      <c r="E4" s="5"/>
      <c r="F4" s="5"/>
      <c r="H4" s="5" t="s">
        <v>58</v>
      </c>
      <c r="I4" s="5"/>
      <c r="J4" s="5"/>
      <c r="K4" s="5"/>
      <c r="L4" s="5"/>
      <c r="N4" s="5" t="s">
        <v>59</v>
      </c>
      <c r="O4" s="5"/>
      <c r="P4" s="5"/>
      <c r="Q4" s="5"/>
      <c r="R4" s="5"/>
      <c r="T4" s="5" t="s">
        <v>244</v>
      </c>
      <c r="U4" s="5"/>
      <c r="V4" s="5"/>
      <c r="W4" s="5"/>
      <c r="X4" s="5"/>
    </row>
    <row r="5" spans="1:24" x14ac:dyDescent="0.2">
      <c r="B5" s="6" t="s">
        <v>3</v>
      </c>
      <c r="H5" s="6" t="s">
        <v>243</v>
      </c>
      <c r="I5" s="6"/>
      <c r="J5" s="6"/>
      <c r="K5" s="6"/>
      <c r="L5" s="6"/>
      <c r="M5" s="6"/>
      <c r="N5" s="6" t="s">
        <v>295</v>
      </c>
      <c r="T5" s="6" t="s">
        <v>357</v>
      </c>
    </row>
    <row r="6" spans="1:24" x14ac:dyDescent="0.2">
      <c r="B6" s="7" t="s">
        <v>47</v>
      </c>
      <c r="H6" s="7" t="s">
        <v>51</v>
      </c>
      <c r="N6" s="7" t="s">
        <v>222</v>
      </c>
      <c r="T6" s="7" t="s">
        <v>246</v>
      </c>
    </row>
    <row r="7" spans="1:24" x14ac:dyDescent="0.2">
      <c r="B7" s="7" t="s">
        <v>48</v>
      </c>
      <c r="H7" s="7" t="s">
        <v>218</v>
      </c>
      <c r="N7" s="7" t="s">
        <v>52</v>
      </c>
      <c r="T7" s="7" t="s">
        <v>53</v>
      </c>
    </row>
    <row r="8" spans="1:24" x14ac:dyDescent="0.2">
      <c r="B8" s="7" t="s">
        <v>49</v>
      </c>
      <c r="H8" s="7" t="s">
        <v>60</v>
      </c>
      <c r="N8" s="7" t="s">
        <v>217</v>
      </c>
      <c r="T8" s="7" t="s">
        <v>57</v>
      </c>
    </row>
    <row r="9" spans="1:24" x14ac:dyDescent="0.2">
      <c r="B9" s="7" t="s">
        <v>50</v>
      </c>
      <c r="H9" s="7" t="s">
        <v>56</v>
      </c>
      <c r="N9" s="7" t="s">
        <v>61</v>
      </c>
      <c r="T9" s="7" t="s">
        <v>245</v>
      </c>
    </row>
    <row r="10" spans="1:24" x14ac:dyDescent="0.2">
      <c r="B10" s="7"/>
      <c r="H10" s="7" t="s">
        <v>55</v>
      </c>
      <c r="T10" s="7" t="s">
        <v>41</v>
      </c>
    </row>
    <row r="11" spans="1:24" x14ac:dyDescent="0.2">
      <c r="H11" s="7" t="s">
        <v>49</v>
      </c>
    </row>
    <row r="12" spans="1:24" x14ac:dyDescent="0.2">
      <c r="H12" s="7" t="s">
        <v>54</v>
      </c>
    </row>
    <row r="13" spans="1:24" x14ac:dyDescent="0.2">
      <c r="T13" s="7"/>
    </row>
    <row r="14" spans="1:24" x14ac:dyDescent="0.2">
      <c r="A14" s="4" t="s">
        <v>1</v>
      </c>
      <c r="B14" s="5" t="s">
        <v>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T14" s="7"/>
    </row>
    <row r="15" spans="1:24" x14ac:dyDescent="0.2">
      <c r="B15" t="s">
        <v>358</v>
      </c>
      <c r="I15" s="6" t="s">
        <v>359</v>
      </c>
    </row>
    <row r="16" spans="1:24" x14ac:dyDescent="0.2">
      <c r="B16" t="s">
        <v>360</v>
      </c>
      <c r="I16" s="6" t="s">
        <v>361</v>
      </c>
    </row>
    <row r="18" spans="1:22" x14ac:dyDescent="0.2">
      <c r="B18" t="s">
        <v>362</v>
      </c>
      <c r="I18" s="261" t="s">
        <v>215</v>
      </c>
    </row>
    <row r="19" spans="1:22" x14ac:dyDescent="0.2">
      <c r="B19" t="s">
        <v>363</v>
      </c>
      <c r="I19" s="261" t="s">
        <v>62</v>
      </c>
    </row>
    <row r="20" spans="1:22" x14ac:dyDescent="0.2">
      <c r="G20" s="261"/>
    </row>
    <row r="21" spans="1:22" x14ac:dyDescent="0.2">
      <c r="A21" s="4" t="s">
        <v>1</v>
      </c>
      <c r="B21" s="5" t="s">
        <v>364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22" x14ac:dyDescent="0.2">
      <c r="B22" t="s">
        <v>4</v>
      </c>
      <c r="I22" s="261" t="s">
        <v>5</v>
      </c>
    </row>
    <row r="23" spans="1:22" x14ac:dyDescent="0.2">
      <c r="B23" t="s">
        <v>6</v>
      </c>
      <c r="I23" s="261" t="s">
        <v>7</v>
      </c>
      <c r="V23" t="s">
        <v>214</v>
      </c>
    </row>
    <row r="24" spans="1:22" x14ac:dyDescent="0.2">
      <c r="B24" t="s">
        <v>8</v>
      </c>
      <c r="I24" s="261" t="s">
        <v>9</v>
      </c>
    </row>
    <row r="25" spans="1:22" x14ac:dyDescent="0.2">
      <c r="B25" t="s">
        <v>10</v>
      </c>
      <c r="I25" s="261" t="s">
        <v>11</v>
      </c>
    </row>
  </sheetData>
  <hyperlinks>
    <hyperlink ref="B5" r:id="rId1" xr:uid="{7A2F9B7F-63D7-49C6-BC5A-B69EF848C260}"/>
    <hyperlink ref="H5" r:id="rId2" xr:uid="{814D87C6-CCD1-4D90-9C55-821D848797C1}"/>
    <hyperlink ref="N5" r:id="rId3" xr:uid="{30884770-0E53-4549-9FA8-ABEC3CA86159}"/>
    <hyperlink ref="I19" r:id="rId4" xr:uid="{01F963FF-A78E-244C-A5C7-D38391E40B6B}"/>
    <hyperlink ref="I18" r:id="rId5" xr:uid="{3E6EE822-A750-7D4A-900D-A10C0C4B0593}"/>
    <hyperlink ref="I15" r:id="rId6" xr:uid="{0615BCCF-B7A3-304C-AB7F-0852ED222A7E}"/>
    <hyperlink ref="I16" r:id="rId7" xr:uid="{91E2725D-7AE8-E84C-B77C-48C6FE49076C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B51B-E0BB-4FE4-80CA-E4DE97C984FB}">
  <dimension ref="A2:V122"/>
  <sheetViews>
    <sheetView showGridLines="0" zoomScale="150" zoomScaleNormal="150" workbookViewId="0"/>
  </sheetViews>
  <sheetFormatPr baseColWidth="10" defaultColWidth="15.5" defaultRowHeight="15" outlineLevelCol="1" x14ac:dyDescent="0.2"/>
  <cols>
    <col min="1" max="1" width="3.5" style="4" customWidth="1"/>
    <col min="2" max="2" width="33.83203125" bestFit="1" customWidth="1"/>
    <col min="3" max="11" width="15.5" hidden="1" customWidth="1" outlineLevel="1"/>
    <col min="12" max="12" width="15.5" collapsed="1"/>
  </cols>
  <sheetData>
    <row r="2" spans="1:17" s="3" customFormat="1" ht="21" x14ac:dyDescent="0.25">
      <c r="A2" s="1"/>
      <c r="B2" s="2" t="s">
        <v>351</v>
      </c>
    </row>
    <row r="4" spans="1:17" x14ac:dyDescent="0.2">
      <c r="A4" s="4" t="s">
        <v>1</v>
      </c>
      <c r="B4" t="s">
        <v>13</v>
      </c>
      <c r="L4" s="112" t="s">
        <v>230</v>
      </c>
    </row>
    <row r="5" spans="1:17" x14ac:dyDescent="0.2">
      <c r="B5" t="s">
        <v>228</v>
      </c>
      <c r="L5" s="113">
        <v>45596</v>
      </c>
    </row>
    <row r="6" spans="1:17" x14ac:dyDescent="0.2">
      <c r="B6" t="s">
        <v>229</v>
      </c>
      <c r="L6" s="113">
        <v>45657</v>
      </c>
    </row>
    <row r="8" spans="1:17" x14ac:dyDescent="0.2">
      <c r="A8" s="4" t="s">
        <v>1</v>
      </c>
      <c r="B8" s="5" t="s">
        <v>12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</row>
    <row r="9" spans="1:17" ht="5" customHeight="1" x14ac:dyDescent="0.2"/>
    <row r="10" spans="1:17" x14ac:dyDescent="0.2">
      <c r="B10" t="s">
        <v>202</v>
      </c>
      <c r="L10" s="114">
        <f>WACC!F22</f>
        <v>8.3315110625500829E-2</v>
      </c>
    </row>
    <row r="11" spans="1:17" x14ac:dyDescent="0.2">
      <c r="B11" t="s">
        <v>231</v>
      </c>
      <c r="L11" s="115">
        <v>2.5000000000000001E-2</v>
      </c>
    </row>
    <row r="13" spans="1:17" x14ac:dyDescent="0.2">
      <c r="A13" s="4" t="s">
        <v>1</v>
      </c>
      <c r="B13" s="5" t="s">
        <v>221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</row>
    <row r="14" spans="1:17" ht="5" customHeight="1" x14ac:dyDescent="0.2"/>
    <row r="15" spans="1:17" x14ac:dyDescent="0.2">
      <c r="A15" s="4" t="s">
        <v>1</v>
      </c>
      <c r="B15" s="8" t="s">
        <v>29</v>
      </c>
      <c r="C15" s="38">
        <v>2015</v>
      </c>
      <c r="D15" s="38">
        <f t="shared" ref="D15:M15" si="0">C15+1</f>
        <v>2016</v>
      </c>
      <c r="E15" s="38">
        <f t="shared" si="0"/>
        <v>2017</v>
      </c>
      <c r="F15" s="38">
        <f t="shared" si="0"/>
        <v>2018</v>
      </c>
      <c r="G15" s="38">
        <f t="shared" si="0"/>
        <v>2019</v>
      </c>
      <c r="H15" s="38">
        <f t="shared" si="0"/>
        <v>2020</v>
      </c>
      <c r="I15" s="38">
        <f t="shared" si="0"/>
        <v>2021</v>
      </c>
      <c r="J15" s="38">
        <f t="shared" si="0"/>
        <v>2022</v>
      </c>
      <c r="K15" s="38">
        <f t="shared" si="0"/>
        <v>2023</v>
      </c>
      <c r="L15" s="39">
        <f t="shared" si="0"/>
        <v>2024</v>
      </c>
      <c r="M15" s="39">
        <f t="shared" si="0"/>
        <v>2025</v>
      </c>
      <c r="N15" s="39">
        <f t="shared" ref="N15:P15" si="1">M15+1</f>
        <v>2026</v>
      </c>
      <c r="O15" s="39">
        <f t="shared" si="1"/>
        <v>2027</v>
      </c>
      <c r="P15" s="39">
        <f t="shared" si="1"/>
        <v>2028</v>
      </c>
      <c r="Q15" s="39">
        <f t="shared" ref="Q15" si="2">P15+1</f>
        <v>2029</v>
      </c>
    </row>
    <row r="16" spans="1:17" ht="5" customHeight="1" x14ac:dyDescent="0.2"/>
    <row r="17" spans="1:17" x14ac:dyDescent="0.2">
      <c r="B17" t="s">
        <v>105</v>
      </c>
      <c r="C17" s="36">
        <f>Segments!C6</f>
        <v>63708</v>
      </c>
      <c r="D17" s="102">
        <f>Segments!D6</f>
        <v>79785</v>
      </c>
      <c r="E17" s="102">
        <f>Segments!E6</f>
        <v>106110</v>
      </c>
      <c r="F17" s="102">
        <f>Segments!F6</f>
        <v>141366</v>
      </c>
      <c r="G17" s="102">
        <f>Segments!G6</f>
        <v>170773</v>
      </c>
      <c r="H17" s="102">
        <f>Segments!H6</f>
        <v>236282</v>
      </c>
      <c r="I17" s="102">
        <f>Segments!I6</f>
        <v>279833</v>
      </c>
      <c r="J17" s="102">
        <f>Segments!J6</f>
        <v>315880</v>
      </c>
      <c r="K17" s="102">
        <f>Segments!K6</f>
        <v>352828</v>
      </c>
      <c r="L17" s="102">
        <f>Segments!L6</f>
        <v>386647</v>
      </c>
      <c r="M17" s="102">
        <f>Segments!M6</f>
        <v>423461</v>
      </c>
      <c r="N17" s="102">
        <f>Segments!N6</f>
        <v>461471</v>
      </c>
      <c r="O17" s="102">
        <f>Segments!O6</f>
        <v>497416</v>
      </c>
      <c r="P17" s="102">
        <f>Segments!P6</f>
        <v>546306</v>
      </c>
      <c r="Q17" s="102">
        <f>Segments!Q6</f>
        <v>590847</v>
      </c>
    </row>
    <row r="18" spans="1:17" x14ac:dyDescent="0.2">
      <c r="B18" s="45" t="s">
        <v>30</v>
      </c>
      <c r="C18" s="106" t="str">
        <f>IF(ISERROR(C17/B17-1),"--",C17/B17-1)</f>
        <v>--</v>
      </c>
      <c r="D18" s="104">
        <f>IF(ISERROR(D17/C17-1),"--",D17/C17-1)</f>
        <v>0.25235449237144469</v>
      </c>
      <c r="E18" s="104">
        <f t="shared" ref="E18:Q18" si="3">IF(ISERROR(E17/D17-1),"--",E17/D17-1)</f>
        <v>0.32994923857868019</v>
      </c>
      <c r="F18" s="104">
        <f t="shared" si="3"/>
        <v>0.33225897653378578</v>
      </c>
      <c r="G18" s="104">
        <f t="shared" si="3"/>
        <v>0.20802031605902416</v>
      </c>
      <c r="H18" s="104">
        <f t="shared" si="3"/>
        <v>0.38360279435273736</v>
      </c>
      <c r="I18" s="104">
        <f t="shared" si="3"/>
        <v>0.1843178913332375</v>
      </c>
      <c r="J18" s="104">
        <f t="shared" si="3"/>
        <v>0.12881611532592663</v>
      </c>
      <c r="K18" s="104">
        <f t="shared" si="3"/>
        <v>0.11696846903887548</v>
      </c>
      <c r="L18" s="104">
        <f t="shared" si="3"/>
        <v>9.5851236296438991E-2</v>
      </c>
      <c r="M18" s="104">
        <f t="shared" si="3"/>
        <v>9.5213463443399204E-2</v>
      </c>
      <c r="N18" s="104">
        <f t="shared" si="3"/>
        <v>8.9760332120313313E-2</v>
      </c>
      <c r="O18" s="105">
        <f t="shared" si="3"/>
        <v>7.7892218579282302E-2</v>
      </c>
      <c r="P18" s="105">
        <f t="shared" si="3"/>
        <v>9.8287952136642209E-2</v>
      </c>
      <c r="Q18" s="105">
        <f t="shared" si="3"/>
        <v>8.1531229750359646E-2</v>
      </c>
    </row>
    <row r="19" spans="1:17" x14ac:dyDescent="0.2">
      <c r="B19" s="45" t="s">
        <v>219</v>
      </c>
      <c r="C19" s="106">
        <f>C17/C$29</f>
        <v>0.59536848401024245</v>
      </c>
      <c r="D19" s="106">
        <f t="shared" ref="D19:Q19" si="4">D17/D$29</f>
        <v>0.58671049438549272</v>
      </c>
      <c r="E19" s="106">
        <f t="shared" si="4"/>
        <v>0.59657270079722935</v>
      </c>
      <c r="F19" s="106">
        <f t="shared" si="4"/>
        <v>0.6070154194952917</v>
      </c>
      <c r="G19" s="106">
        <f t="shared" si="4"/>
        <v>0.60876865272598946</v>
      </c>
      <c r="H19" s="106">
        <f t="shared" si="4"/>
        <v>0.61202805752414102</v>
      </c>
      <c r="I19" s="106">
        <f t="shared" si="4"/>
        <v>0.59561493501794294</v>
      </c>
      <c r="J19" s="106">
        <f t="shared" si="4"/>
        <v>0.61457285552245888</v>
      </c>
      <c r="K19" s="106">
        <f t="shared" si="4"/>
        <v>0.61384343711126765</v>
      </c>
      <c r="L19" s="106">
        <f t="shared" si="4"/>
        <v>0.60827410225188239</v>
      </c>
      <c r="M19" s="106">
        <f t="shared" si="4"/>
        <v>0.59999943324232152</v>
      </c>
      <c r="N19" s="106">
        <f t="shared" si="4"/>
        <v>0.58799072916706485</v>
      </c>
      <c r="O19" s="106">
        <f t="shared" si="4"/>
        <v>0.57396780852662099</v>
      </c>
      <c r="P19" s="106">
        <f t="shared" si="4"/>
        <v>0.57238020799500444</v>
      </c>
      <c r="Q19" s="106">
        <f t="shared" si="4"/>
        <v>0.55955871489777598</v>
      </c>
    </row>
    <row r="20" spans="1:17" x14ac:dyDescent="0.2">
      <c r="C20" s="95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</row>
    <row r="21" spans="1:17" x14ac:dyDescent="0.2">
      <c r="B21" t="s">
        <v>104</v>
      </c>
      <c r="C21" s="36">
        <f>Segments!C8</f>
        <v>35418</v>
      </c>
      <c r="D21" s="102">
        <f>Segments!D8</f>
        <v>43983</v>
      </c>
      <c r="E21" s="102">
        <f>Segments!E8</f>
        <v>54297</v>
      </c>
      <c r="F21" s="102">
        <f>Segments!F8</f>
        <v>65866</v>
      </c>
      <c r="G21" s="102">
        <f>Segments!G8</f>
        <v>74723</v>
      </c>
      <c r="H21" s="102">
        <f>Segments!H8</f>
        <v>104412</v>
      </c>
      <c r="I21" s="102">
        <f>Segments!I8</f>
        <v>127787</v>
      </c>
      <c r="J21" s="102">
        <f>Segments!J8</f>
        <v>118007</v>
      </c>
      <c r="K21" s="102">
        <f>Segments!K8</f>
        <v>131200</v>
      </c>
      <c r="L21" s="102">
        <f>Segments!L8</f>
        <v>141444</v>
      </c>
      <c r="M21" s="102">
        <f>Segments!M8</f>
        <v>154680</v>
      </c>
      <c r="N21" s="102">
        <f>Segments!N8</f>
        <v>171709</v>
      </c>
      <c r="O21" s="102">
        <f>Segments!O8</f>
        <v>192631</v>
      </c>
      <c r="P21" s="102">
        <f>Segments!P8</f>
        <v>199416</v>
      </c>
      <c r="Q21" s="102">
        <f>Segments!Q8</f>
        <v>215930</v>
      </c>
    </row>
    <row r="22" spans="1:17" x14ac:dyDescent="0.2">
      <c r="B22" s="45" t="s">
        <v>30</v>
      </c>
      <c r="C22" s="106" t="str">
        <f>IF(ISERROR(C21/B21-1),"--",C21/B21-1)</f>
        <v>--</v>
      </c>
      <c r="D22" s="104">
        <f>IF(ISERROR(D21/C21-1),"--",D21/C21-1)</f>
        <v>0.24182619007284423</v>
      </c>
      <c r="E22" s="104">
        <f t="shared" ref="E22" si="5">IF(ISERROR(E21/D21-1),"--",E21/D21-1)</f>
        <v>0.23449969306322904</v>
      </c>
      <c r="F22" s="104">
        <f t="shared" ref="F22" si="6">IF(ISERROR(F21/E21-1),"--",F21/E21-1)</f>
        <v>0.21306886199974207</v>
      </c>
      <c r="G22" s="104">
        <f t="shared" ref="G22" si="7">IF(ISERROR(G21/F21-1),"--",G21/F21-1)</f>
        <v>0.13446998451401337</v>
      </c>
      <c r="H22" s="104">
        <f t="shared" ref="H22" si="8">IF(ISERROR(H21/G21-1),"--",H21/G21-1)</f>
        <v>0.39732077138230526</v>
      </c>
      <c r="I22" s="104">
        <f t="shared" ref="I22" si="9">IF(ISERROR(I21/H21-1),"--",I21/H21-1)</f>
        <v>0.22387273493468185</v>
      </c>
      <c r="J22" s="104">
        <f t="shared" ref="J22" si="10">IF(ISERROR(J21/I21-1),"--",J21/I21-1)</f>
        <v>-7.6533606704907386E-2</v>
      </c>
      <c r="K22" s="104">
        <f t="shared" ref="K22" si="11">IF(ISERROR(K21/J21-1),"--",K21/J21-1)</f>
        <v>0.11179845263416577</v>
      </c>
      <c r="L22" s="104">
        <f t="shared" ref="L22" si="12">IF(ISERROR(L21/K21-1),"--",L21/K21-1)</f>
        <v>7.8079268292682968E-2</v>
      </c>
      <c r="M22" s="104">
        <f t="shared" ref="M22" si="13">IF(ISERROR(M21/L21-1),"--",M21/L21-1)</f>
        <v>9.3577670314753503E-2</v>
      </c>
      <c r="N22" s="104">
        <f t="shared" ref="N22" si="14">IF(ISERROR(N21/M21-1),"--",N21/M21-1)</f>
        <v>0.11009180243082484</v>
      </c>
      <c r="O22" s="105">
        <f t="shared" ref="O22" si="15">IF(ISERROR(O21/N21-1),"--",O21/N21-1)</f>
        <v>0.12184568077386748</v>
      </c>
      <c r="P22" s="105">
        <f t="shared" ref="P22" si="16">IF(ISERROR(P21/O21-1),"--",P21/O21-1)</f>
        <v>3.5222783456452911E-2</v>
      </c>
      <c r="Q22" s="105">
        <f t="shared" ref="Q22" si="17">IF(ISERROR(Q21/P21-1),"--",Q21/P21-1)</f>
        <v>8.2811810486620896E-2</v>
      </c>
    </row>
    <row r="23" spans="1:17" x14ac:dyDescent="0.2">
      <c r="B23" s="45" t="s">
        <v>219</v>
      </c>
      <c r="C23" s="106">
        <f>C21/C$29</f>
        <v>0.33099078556342637</v>
      </c>
      <c r="D23" s="106">
        <f t="shared" ref="D23:Q23" si="18">D21/D$29</f>
        <v>0.32343532837697719</v>
      </c>
      <c r="E23" s="106">
        <f t="shared" si="18"/>
        <v>0.30526913519166116</v>
      </c>
      <c r="F23" s="106">
        <f t="shared" si="18"/>
        <v>0.28282385878129734</v>
      </c>
      <c r="G23" s="106">
        <f t="shared" si="18"/>
        <v>0.26637126499882363</v>
      </c>
      <c r="H23" s="106">
        <f t="shared" si="18"/>
        <v>0.27045256744995649</v>
      </c>
      <c r="I23" s="106">
        <f t="shared" si="18"/>
        <v>0.27199024311334929</v>
      </c>
      <c r="J23" s="106">
        <f t="shared" si="18"/>
        <v>0.22959319666214642</v>
      </c>
      <c r="K23" s="106">
        <f t="shared" si="18"/>
        <v>0.22825926215889419</v>
      </c>
      <c r="L23" s="106">
        <f t="shared" si="18"/>
        <v>0.22252008193239634</v>
      </c>
      <c r="M23" s="106">
        <f t="shared" si="18"/>
        <v>0.21916519427744771</v>
      </c>
      <c r="N23" s="106">
        <f t="shared" si="18"/>
        <v>0.21878579610538373</v>
      </c>
      <c r="O23" s="106">
        <f t="shared" si="18"/>
        <v>0.22227671189565984</v>
      </c>
      <c r="P23" s="106">
        <f t="shared" si="18"/>
        <v>0.20893376890887488</v>
      </c>
      <c r="Q23" s="106">
        <f t="shared" si="18"/>
        <v>0.20449543334886489</v>
      </c>
    </row>
    <row r="24" spans="1:17" x14ac:dyDescent="0.2">
      <c r="C24" s="95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</row>
    <row r="25" spans="1:17" x14ac:dyDescent="0.2">
      <c r="B25" t="s">
        <v>216</v>
      </c>
      <c r="C25" s="36">
        <f>Segments!C9</f>
        <v>7880</v>
      </c>
      <c r="D25" s="102">
        <f>Segments!D9</f>
        <v>12219</v>
      </c>
      <c r="E25" s="102">
        <f>Segments!E9</f>
        <v>17459</v>
      </c>
      <c r="F25" s="102">
        <f>Segments!F9</f>
        <v>25655</v>
      </c>
      <c r="G25" s="102">
        <f>Segments!G9</f>
        <v>35026</v>
      </c>
      <c r="H25" s="102">
        <f>Segments!H9</f>
        <v>45370</v>
      </c>
      <c r="I25" s="102">
        <f>Segments!I9</f>
        <v>62202</v>
      </c>
      <c r="J25" s="102">
        <f>Segments!J9</f>
        <v>80096</v>
      </c>
      <c r="K25" s="102">
        <f>Segments!K9</f>
        <v>90757</v>
      </c>
      <c r="L25" s="102">
        <f>Segments!L9</f>
        <v>107555</v>
      </c>
      <c r="M25" s="102">
        <f>Segments!M9</f>
        <v>127628</v>
      </c>
      <c r="N25" s="102">
        <f>Segments!N9</f>
        <v>151647</v>
      </c>
      <c r="O25" s="102">
        <f>Segments!O9</f>
        <v>176580</v>
      </c>
      <c r="P25" s="102">
        <f>Segments!P9</f>
        <v>208724</v>
      </c>
      <c r="Q25" s="102">
        <f>Segments!Q9</f>
        <v>249139</v>
      </c>
    </row>
    <row r="26" spans="1:17" x14ac:dyDescent="0.2">
      <c r="B26" s="45" t="s">
        <v>30</v>
      </c>
      <c r="C26" s="106" t="str">
        <f>IF(ISERROR(C25/B25-1),"--",C25/B25-1)</f>
        <v>--</v>
      </c>
      <c r="D26" s="104">
        <f>IF(ISERROR(D25/C25-1),"--",D25/C25-1)</f>
        <v>0.55063451776649752</v>
      </c>
      <c r="E26" s="104">
        <f t="shared" ref="E26" si="19">IF(ISERROR(E25/D25-1),"--",E25/D25-1)</f>
        <v>0.42884033063262139</v>
      </c>
      <c r="F26" s="104">
        <f t="shared" ref="F26" si="20">IF(ISERROR(F25/E25-1),"--",F25/E25-1)</f>
        <v>0.46944269431238905</v>
      </c>
      <c r="G26" s="104">
        <f t="shared" ref="G26" si="21">IF(ISERROR(G25/F25-1),"--",G25/F25-1)</f>
        <v>0.36526992788930035</v>
      </c>
      <c r="H26" s="104">
        <f t="shared" ref="H26" si="22">IF(ISERROR(H25/G25-1),"--",H25/G25-1)</f>
        <v>0.29532347399074976</v>
      </c>
      <c r="I26" s="104">
        <f t="shared" ref="I26" si="23">IF(ISERROR(I25/H25-1),"--",I25/H25-1)</f>
        <v>0.37099404893101173</v>
      </c>
      <c r="J26" s="104">
        <f t="shared" ref="J26" si="24">IF(ISERROR(J25/I25-1),"--",J25/I25-1)</f>
        <v>0.28767563743931057</v>
      </c>
      <c r="K26" s="104">
        <f t="shared" ref="K26" si="25">IF(ISERROR(K25/J25-1),"--",K25/J25-1)</f>
        <v>0.13310277666799841</v>
      </c>
      <c r="L26" s="104">
        <f t="shared" ref="L26" si="26">IF(ISERROR(L25/K25-1),"--",L25/K25-1)</f>
        <v>0.18508765164119567</v>
      </c>
      <c r="M26" s="104">
        <f t="shared" ref="M26" si="27">IF(ISERROR(M25/L25-1),"--",M25/L25-1)</f>
        <v>0.18663009622983595</v>
      </c>
      <c r="N26" s="104">
        <f t="shared" ref="N26" si="28">IF(ISERROR(N25/M25-1),"--",N25/M25-1)</f>
        <v>0.1881953803240668</v>
      </c>
      <c r="O26" s="105">
        <f t="shared" ref="O26" si="29">IF(ISERROR(O25/N25-1),"--",O25/N25-1)</f>
        <v>0.16441472630516918</v>
      </c>
      <c r="P26" s="105">
        <f t="shared" ref="P26" si="30">IF(ISERROR(P25/O25-1),"--",P25/O25-1)</f>
        <v>0.1820364707214861</v>
      </c>
      <c r="Q26" s="105">
        <f t="shared" ref="Q26" si="31">IF(ISERROR(Q25/P25-1),"--",Q25/P25-1)</f>
        <v>0.19362890707345581</v>
      </c>
    </row>
    <row r="27" spans="1:17" x14ac:dyDescent="0.2">
      <c r="B27" s="45" t="s">
        <v>219</v>
      </c>
      <c r="C27" s="106">
        <f>C25/C$29</f>
        <v>7.3640730426331236E-2</v>
      </c>
      <c r="D27" s="106">
        <f t="shared" ref="D27:Q27" si="32">D25/D$29</f>
        <v>8.9854177237530058E-2</v>
      </c>
      <c r="E27" s="106">
        <f t="shared" si="32"/>
        <v>9.8158164011109481E-2</v>
      </c>
      <c r="F27" s="106">
        <f t="shared" si="32"/>
        <v>0.11016072172341093</v>
      </c>
      <c r="G27" s="106">
        <f t="shared" si="32"/>
        <v>0.12486008227518697</v>
      </c>
      <c r="H27" s="106">
        <f t="shared" si="32"/>
        <v>0.11751937502590244</v>
      </c>
      <c r="I27" s="106">
        <f t="shared" si="32"/>
        <v>0.13239482186870771</v>
      </c>
      <c r="J27" s="106">
        <f t="shared" si="32"/>
        <v>0.15583394781539467</v>
      </c>
      <c r="K27" s="106">
        <f t="shared" si="32"/>
        <v>0.15789730072983812</v>
      </c>
      <c r="L27" s="106">
        <f t="shared" si="32"/>
        <v>0.16920581581572133</v>
      </c>
      <c r="M27" s="106">
        <f t="shared" si="32"/>
        <v>0.18083537248023079</v>
      </c>
      <c r="N27" s="106">
        <f t="shared" si="32"/>
        <v>0.19322347472755141</v>
      </c>
      <c r="O27" s="106">
        <f t="shared" si="32"/>
        <v>0.20375547957771914</v>
      </c>
      <c r="P27" s="106">
        <f t="shared" si="32"/>
        <v>0.21868602309612067</v>
      </c>
      <c r="Q27" s="106">
        <f t="shared" si="32"/>
        <v>0.23594585175335916</v>
      </c>
    </row>
    <row r="28" spans="1:17" x14ac:dyDescent="0.2"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</row>
    <row r="29" spans="1:17" x14ac:dyDescent="0.2">
      <c r="B29" s="40" t="s">
        <v>16</v>
      </c>
      <c r="C29" s="96">
        <f>C17+C21+C25</f>
        <v>107006</v>
      </c>
      <c r="D29" s="96">
        <f t="shared" ref="D29:Q29" si="33">D17+D21+D25</f>
        <v>135987</v>
      </c>
      <c r="E29" s="96">
        <f t="shared" si="33"/>
        <v>177866</v>
      </c>
      <c r="F29" s="96">
        <f t="shared" si="33"/>
        <v>232887</v>
      </c>
      <c r="G29" s="96">
        <f t="shared" si="33"/>
        <v>280522</v>
      </c>
      <c r="H29" s="96">
        <f t="shared" si="33"/>
        <v>386064</v>
      </c>
      <c r="I29" s="96">
        <f t="shared" si="33"/>
        <v>469822</v>
      </c>
      <c r="J29" s="96">
        <f t="shared" si="33"/>
        <v>513983</v>
      </c>
      <c r="K29" s="96">
        <f t="shared" si="33"/>
        <v>574785</v>
      </c>
      <c r="L29" s="96">
        <f t="shared" si="33"/>
        <v>635646</v>
      </c>
      <c r="M29" s="96">
        <f t="shared" si="33"/>
        <v>705769</v>
      </c>
      <c r="N29" s="96">
        <f t="shared" si="33"/>
        <v>784827</v>
      </c>
      <c r="O29" s="96">
        <f t="shared" si="33"/>
        <v>866627</v>
      </c>
      <c r="P29" s="96">
        <f t="shared" si="33"/>
        <v>954446</v>
      </c>
      <c r="Q29" s="97">
        <f t="shared" si="33"/>
        <v>1055916</v>
      </c>
    </row>
    <row r="30" spans="1:17" x14ac:dyDescent="0.2">
      <c r="B30" s="98" t="s">
        <v>30</v>
      </c>
      <c r="C30" s="99" t="str">
        <f>IF(ISERROR(C29/B29-1),"--",C29/B29-1)</f>
        <v>--</v>
      </c>
      <c r="D30" s="100">
        <f>IF(ISERROR(D29/C29-1),"--",D29/C29-1)</f>
        <v>0.27083528026465808</v>
      </c>
      <c r="E30" s="100">
        <f t="shared" ref="E30" si="34">IF(ISERROR(E29/D29-1),"--",E29/D29-1)</f>
        <v>0.30796326119408479</v>
      </c>
      <c r="F30" s="100">
        <f t="shared" ref="F30" si="35">IF(ISERROR(F29/E29-1),"--",F29/E29-1)</f>
        <v>0.3093396152159491</v>
      </c>
      <c r="G30" s="100">
        <f t="shared" ref="G30" si="36">IF(ISERROR(G29/F29-1),"--",G29/F29-1)</f>
        <v>0.20454125820676983</v>
      </c>
      <c r="H30" s="100">
        <f t="shared" ref="H30" si="37">IF(ISERROR(H29/G29-1),"--",H29/G29-1)</f>
        <v>0.37623430604373276</v>
      </c>
      <c r="I30" s="100">
        <f t="shared" ref="I30" si="38">IF(ISERROR(I29/H29-1),"--",I29/H29-1)</f>
        <v>0.21695366571345676</v>
      </c>
      <c r="J30" s="100">
        <f t="shared" ref="J30" si="39">IF(ISERROR(J29/I29-1),"--",J29/I29-1)</f>
        <v>9.399517263985091E-2</v>
      </c>
      <c r="K30" s="100">
        <f t="shared" ref="K30" si="40">IF(ISERROR(K29/J29-1),"--",K29/J29-1)</f>
        <v>0.1182957412988368</v>
      </c>
      <c r="L30" s="100">
        <f t="shared" ref="L30" si="41">IF(ISERROR(L29/K29-1),"--",L29/K29-1)</f>
        <v>0.10588480910253395</v>
      </c>
      <c r="M30" s="100">
        <f t="shared" ref="M30" si="42">IF(ISERROR(M29/L29-1),"--",M29/L29-1)</f>
        <v>0.11031769255214385</v>
      </c>
      <c r="N30" s="100">
        <f t="shared" ref="N30" si="43">IF(ISERROR(N29/M29-1),"--",N29/M29-1)</f>
        <v>0.11201682136789803</v>
      </c>
      <c r="O30" s="100">
        <f t="shared" ref="O30" si="44">IF(ISERROR(O29/N29-1),"--",O29/N29-1)</f>
        <v>0.10422679138204982</v>
      </c>
      <c r="P30" s="100">
        <f t="shared" ref="P30" si="45">IF(ISERROR(P29/O29-1),"--",P29/O29-1)</f>
        <v>0.10133425337544288</v>
      </c>
      <c r="Q30" s="101">
        <f t="shared" ref="Q30" si="46">IF(ISERROR(Q29/P29-1),"--",Q29/P29-1)</f>
        <v>0.10631298156207891</v>
      </c>
    </row>
    <row r="31" spans="1:17" x14ac:dyDescent="0.2"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</row>
    <row r="32" spans="1:17" x14ac:dyDescent="0.2">
      <c r="A32" s="4" t="s">
        <v>1</v>
      </c>
      <c r="B32" s="8" t="s">
        <v>32</v>
      </c>
      <c r="C32" s="38">
        <v>2015</v>
      </c>
      <c r="D32" s="38">
        <v>2016</v>
      </c>
      <c r="E32" s="38">
        <v>2017</v>
      </c>
      <c r="F32" s="38">
        <v>2018</v>
      </c>
      <c r="G32" s="38">
        <v>2019</v>
      </c>
      <c r="H32" s="38">
        <v>2020</v>
      </c>
      <c r="I32" s="38">
        <v>2021</v>
      </c>
      <c r="J32" s="38">
        <v>2022</v>
      </c>
      <c r="K32" s="38">
        <v>2023</v>
      </c>
      <c r="L32" s="39">
        <v>2024</v>
      </c>
      <c r="M32" s="39">
        <v>2025</v>
      </c>
      <c r="N32" s="39">
        <v>2026</v>
      </c>
      <c r="O32" s="39">
        <v>2027</v>
      </c>
      <c r="P32" s="39">
        <v>2028</v>
      </c>
      <c r="Q32" s="39">
        <v>2029</v>
      </c>
    </row>
    <row r="33" spans="2:17" ht="5" customHeight="1" x14ac:dyDescent="0.2"/>
    <row r="34" spans="2:17" x14ac:dyDescent="0.2">
      <c r="B34" t="s">
        <v>105</v>
      </c>
      <c r="C34" s="102">
        <f>Segments!C12</f>
        <v>2751</v>
      </c>
      <c r="D34" s="102">
        <f>Segments!D12</f>
        <v>4099</v>
      </c>
      <c r="E34" s="102">
        <f>Segments!E12</f>
        <v>2837</v>
      </c>
      <c r="F34" s="102">
        <f>Segments!F12</f>
        <v>7267</v>
      </c>
      <c r="G34" s="102">
        <f>Segments!G12</f>
        <v>7033</v>
      </c>
      <c r="H34" s="102">
        <f>Segments!H12</f>
        <v>8651</v>
      </c>
      <c r="I34" s="102">
        <f>Segments!I12</f>
        <v>7271</v>
      </c>
      <c r="J34" s="102">
        <f>Segments!J12</f>
        <v>-2847</v>
      </c>
      <c r="K34" s="102">
        <f>Segments!K12</f>
        <v>14877</v>
      </c>
      <c r="L34" s="102">
        <f>Segments!L12</f>
        <v>23233.5</v>
      </c>
      <c r="M34" s="102">
        <f>Segments!M12</f>
        <v>31059.3</v>
      </c>
      <c r="N34" s="102">
        <f>Segments!N12</f>
        <v>34190</v>
      </c>
      <c r="O34" s="41">
        <f>O35*O17</f>
        <v>36853.134953225665</v>
      </c>
      <c r="P34" s="41">
        <f t="shared" ref="P34:Q34" si="47">P35*P17</f>
        <v>40475.354117593524</v>
      </c>
      <c r="Q34" s="41">
        <f t="shared" si="47"/>
        <v>43775.359513382209</v>
      </c>
    </row>
    <row r="35" spans="2:17" x14ac:dyDescent="0.2">
      <c r="B35" s="45" t="s">
        <v>31</v>
      </c>
      <c r="C35" s="104">
        <f>C34/C17</f>
        <v>4.3181390092296101E-2</v>
      </c>
      <c r="D35" s="104">
        <f t="shared" ref="D35:N35" si="48">D34/D17</f>
        <v>5.1375571849345117E-2</v>
      </c>
      <c r="E35" s="104">
        <f t="shared" si="48"/>
        <v>2.6736405616812741E-2</v>
      </c>
      <c r="F35" s="104">
        <f t="shared" si="48"/>
        <v>5.1405571353790869E-2</v>
      </c>
      <c r="G35" s="104">
        <f t="shared" si="48"/>
        <v>4.1183325232911523E-2</v>
      </c>
      <c r="H35" s="104">
        <f t="shared" si="48"/>
        <v>3.6613030192735797E-2</v>
      </c>
      <c r="I35" s="104">
        <f t="shared" si="48"/>
        <v>2.5983354357777676E-2</v>
      </c>
      <c r="J35" s="104">
        <f t="shared" si="48"/>
        <v>-9.0129162973280989E-3</v>
      </c>
      <c r="K35" s="104">
        <f t="shared" si="48"/>
        <v>4.2165020916707291E-2</v>
      </c>
      <c r="L35" s="104">
        <f t="shared" si="48"/>
        <v>6.0089694217205877E-2</v>
      </c>
      <c r="M35" s="104">
        <f t="shared" si="48"/>
        <v>7.3346305799117273E-2</v>
      </c>
      <c r="N35" s="104">
        <f t="shared" si="48"/>
        <v>7.4089162699281216E-2</v>
      </c>
      <c r="O35" s="105">
        <f>N35</f>
        <v>7.4089162699281216E-2</v>
      </c>
      <c r="P35" s="105">
        <f t="shared" ref="P35:Q35" si="49">O35</f>
        <v>7.4089162699281216E-2</v>
      </c>
      <c r="Q35" s="105">
        <f t="shared" si="49"/>
        <v>7.4089162699281216E-2</v>
      </c>
    </row>
    <row r="36" spans="2:17" x14ac:dyDescent="0.2">
      <c r="B36" s="45" t="s">
        <v>220</v>
      </c>
      <c r="C36" s="104">
        <f>C34/C$46</f>
        <v>0.60822462967057267</v>
      </c>
      <c r="D36" s="104">
        <f t="shared" ref="D36:Q36" si="50">D34/D$46</f>
        <v>0.55936135371179041</v>
      </c>
      <c r="E36" s="104">
        <f t="shared" si="50"/>
        <v>0.69094008767657089</v>
      </c>
      <c r="F36" s="104">
        <f t="shared" si="50"/>
        <v>0.58505756380323648</v>
      </c>
      <c r="G36" s="104">
        <f t="shared" si="50"/>
        <v>0.48366687297985006</v>
      </c>
      <c r="H36" s="104">
        <f t="shared" si="50"/>
        <v>0.3777894231189135</v>
      </c>
      <c r="I36" s="104">
        <f t="shared" si="50"/>
        <v>0.29225451183729251</v>
      </c>
      <c r="J36" s="104">
        <f t="shared" si="50"/>
        <v>-0.23244611365120835</v>
      </c>
      <c r="K36" s="104">
        <f t="shared" si="50"/>
        <v>0.40369586453923806</v>
      </c>
      <c r="L36" s="104">
        <f t="shared" si="50"/>
        <v>0.37310802266960247</v>
      </c>
      <c r="M36" s="104">
        <f t="shared" si="50"/>
        <v>0.39934601437652334</v>
      </c>
      <c r="N36" s="104">
        <f t="shared" si="50"/>
        <v>0.3495084494357672</v>
      </c>
      <c r="O36" s="104">
        <f t="shared" si="50"/>
        <v>0.31183187614074648</v>
      </c>
      <c r="P36" s="104">
        <f t="shared" si="50"/>
        <v>0.29578978128778427</v>
      </c>
      <c r="Q36" s="104">
        <f t="shared" si="50"/>
        <v>0.27652693961717978</v>
      </c>
    </row>
    <row r="37" spans="2:17" x14ac:dyDescent="0.2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x14ac:dyDescent="0.2">
      <c r="B38" t="s">
        <v>104</v>
      </c>
      <c r="C38" s="102">
        <f>Segments!C14</f>
        <v>-91</v>
      </c>
      <c r="D38" s="102">
        <f>Segments!D14</f>
        <v>-477</v>
      </c>
      <c r="E38" s="102">
        <f>Segments!E14</f>
        <v>-3062</v>
      </c>
      <c r="F38" s="102">
        <f>Segments!F14</f>
        <v>-2142</v>
      </c>
      <c r="G38" s="102">
        <f>Segments!G14</f>
        <v>-1693</v>
      </c>
      <c r="H38" s="102">
        <f>Segments!H14</f>
        <v>717</v>
      </c>
      <c r="I38" s="102">
        <f>Segments!I14</f>
        <v>-924</v>
      </c>
      <c r="J38" s="102">
        <f>Segments!J14</f>
        <v>-7746</v>
      </c>
      <c r="K38" s="102">
        <f>Segments!K14</f>
        <v>-2656</v>
      </c>
      <c r="L38" s="102">
        <f>Segments!L14</f>
        <v>1765.17</v>
      </c>
      <c r="M38" s="102">
        <f>Segments!M14</f>
        <v>3899.91</v>
      </c>
      <c r="N38" s="102">
        <f>Segments!N14</f>
        <v>9726</v>
      </c>
      <c r="O38" s="41">
        <f>O39*O21</f>
        <v>10911.071091206635</v>
      </c>
      <c r="P38" s="41">
        <f t="shared" ref="P38" si="51">P39*P21</f>
        <v>11295.38938553017</v>
      </c>
      <c r="Q38" s="41">
        <f t="shared" ref="Q38" si="52">Q39*Q21</f>
        <v>12230.781030697284</v>
      </c>
    </row>
    <row r="39" spans="2:17" x14ac:dyDescent="0.2">
      <c r="B39" s="45" t="s">
        <v>31</v>
      </c>
      <c r="C39" s="104">
        <f>C38/C21</f>
        <v>-2.5693150375515274E-3</v>
      </c>
      <c r="D39" s="104">
        <f t="shared" ref="D39:N39" si="53">D38/D21</f>
        <v>-1.0845099242889298E-2</v>
      </c>
      <c r="E39" s="104">
        <f t="shared" si="53"/>
        <v>-5.6393539237895279E-2</v>
      </c>
      <c r="F39" s="104">
        <f t="shared" si="53"/>
        <v>-3.2520572070567515E-2</v>
      </c>
      <c r="G39" s="104">
        <f t="shared" si="53"/>
        <v>-2.2657013235549965E-2</v>
      </c>
      <c r="H39" s="104">
        <f t="shared" si="53"/>
        <v>6.8670267785312031E-3</v>
      </c>
      <c r="I39" s="104">
        <f t="shared" si="53"/>
        <v>-7.2307824739605746E-3</v>
      </c>
      <c r="J39" s="104">
        <f t="shared" si="53"/>
        <v>-6.5640173887989692E-2</v>
      </c>
      <c r="K39" s="104">
        <f t="shared" si="53"/>
        <v>-2.0243902439024391E-2</v>
      </c>
      <c r="L39" s="104">
        <f t="shared" si="53"/>
        <v>1.247963858488165E-2</v>
      </c>
      <c r="M39" s="104">
        <f t="shared" si="53"/>
        <v>2.5212761830876649E-2</v>
      </c>
      <c r="N39" s="104">
        <f t="shared" si="53"/>
        <v>5.6642342567949262E-2</v>
      </c>
      <c r="O39" s="105">
        <f>N39</f>
        <v>5.6642342567949262E-2</v>
      </c>
      <c r="P39" s="105">
        <f t="shared" ref="P39:Q39" si="54">O39</f>
        <v>5.6642342567949262E-2</v>
      </c>
      <c r="Q39" s="105">
        <f t="shared" si="54"/>
        <v>5.6642342567949262E-2</v>
      </c>
    </row>
    <row r="40" spans="2:17" x14ac:dyDescent="0.2">
      <c r="B40" s="45" t="s">
        <v>220</v>
      </c>
      <c r="C40" s="104">
        <f>C38/C$46</f>
        <v>-2.0119389785540572E-2</v>
      </c>
      <c r="D40" s="104">
        <f t="shared" ref="D40:Q40" si="55">D38/D$46</f>
        <v>-6.5092794759825323E-2</v>
      </c>
      <c r="E40" s="104">
        <f t="shared" si="55"/>
        <v>-0.7457379444715051</v>
      </c>
      <c r="F40" s="104">
        <f t="shared" si="55"/>
        <v>-0.17244988326221722</v>
      </c>
      <c r="G40" s="104">
        <f t="shared" si="55"/>
        <v>-0.11642940650574238</v>
      </c>
      <c r="H40" s="104">
        <f t="shared" si="55"/>
        <v>3.1311410978645357E-2</v>
      </c>
      <c r="I40" s="104">
        <f t="shared" si="55"/>
        <v>-3.7139756421078016E-2</v>
      </c>
      <c r="J40" s="104">
        <f t="shared" si="55"/>
        <v>-0.63242978445460485</v>
      </c>
      <c r="K40" s="104">
        <f t="shared" si="55"/>
        <v>-7.2072072072072071E-2</v>
      </c>
      <c r="L40" s="104">
        <f t="shared" si="55"/>
        <v>2.8346959707995018E-2</v>
      </c>
      <c r="M40" s="104">
        <f t="shared" si="55"/>
        <v>5.0143226503081111E-2</v>
      </c>
      <c r="N40" s="104">
        <f t="shared" si="55"/>
        <v>9.9424369090736237E-2</v>
      </c>
      <c r="O40" s="104">
        <f t="shared" si="55"/>
        <v>9.2323754095666746E-2</v>
      </c>
      <c r="P40" s="104">
        <f t="shared" si="55"/>
        <v>8.254555960645843E-2</v>
      </c>
      <c r="Q40" s="104">
        <f t="shared" si="55"/>
        <v>7.7261283177186682E-2</v>
      </c>
    </row>
    <row r="41" spans="2:17" x14ac:dyDescent="0.2"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</row>
    <row r="42" spans="2:17" x14ac:dyDescent="0.2">
      <c r="B42" t="s">
        <v>216</v>
      </c>
      <c r="C42" s="102">
        <f>Segments!C15</f>
        <v>1863</v>
      </c>
      <c r="D42" s="102">
        <f>Segments!D15</f>
        <v>3706</v>
      </c>
      <c r="E42" s="102">
        <f>Segments!E15</f>
        <v>4331</v>
      </c>
      <c r="F42" s="102">
        <f>Segments!F15</f>
        <v>7296</v>
      </c>
      <c r="G42" s="102">
        <f>Segments!G15</f>
        <v>9201</v>
      </c>
      <c r="H42" s="102">
        <f>Segments!H15</f>
        <v>13531</v>
      </c>
      <c r="I42" s="102">
        <f>Segments!I15</f>
        <v>18532</v>
      </c>
      <c r="J42" s="102">
        <f>Segments!J15</f>
        <v>22841</v>
      </c>
      <c r="K42" s="102">
        <f>Segments!K15</f>
        <v>24631</v>
      </c>
      <c r="L42" s="102">
        <f>Segments!L15</f>
        <v>37271.5</v>
      </c>
      <c r="M42" s="102">
        <f>Segments!M15</f>
        <v>42816.2</v>
      </c>
      <c r="N42" s="102">
        <f>Segments!N15</f>
        <v>53907.1</v>
      </c>
      <c r="O42" s="102">
        <f>Segments!O15</f>
        <v>70418.5</v>
      </c>
      <c r="P42" s="102">
        <f>Segments!P15</f>
        <v>85067.5</v>
      </c>
      <c r="Q42" s="102">
        <f>Segments!Q15</f>
        <v>102298</v>
      </c>
    </row>
    <row r="43" spans="2:17" x14ac:dyDescent="0.2">
      <c r="B43" s="45" t="s">
        <v>31</v>
      </c>
      <c r="C43" s="104">
        <f>C42/C25</f>
        <v>0.23642131979695433</v>
      </c>
      <c r="D43" s="104">
        <f t="shared" ref="D43:Q43" si="56">D42/D25</f>
        <v>0.30329814223749896</v>
      </c>
      <c r="E43" s="104">
        <f t="shared" si="56"/>
        <v>0.24806689959333295</v>
      </c>
      <c r="F43" s="104">
        <f t="shared" si="56"/>
        <v>0.28438900799064509</v>
      </c>
      <c r="G43" s="104">
        <f t="shared" si="56"/>
        <v>0.26269057271740992</v>
      </c>
      <c r="H43" s="104">
        <f t="shared" si="56"/>
        <v>0.29823672029975756</v>
      </c>
      <c r="I43" s="104">
        <f t="shared" si="56"/>
        <v>0.29793254236198191</v>
      </c>
      <c r="J43" s="104">
        <f t="shared" si="56"/>
        <v>0.28517029564522572</v>
      </c>
      <c r="K43" s="104">
        <f t="shared" si="56"/>
        <v>0.27139504390845887</v>
      </c>
      <c r="L43" s="104">
        <f t="shared" si="56"/>
        <v>0.34653433127237226</v>
      </c>
      <c r="M43" s="104">
        <f t="shared" si="56"/>
        <v>0.33547654119785625</v>
      </c>
      <c r="N43" s="104">
        <f t="shared" si="56"/>
        <v>0.3554775234590859</v>
      </c>
      <c r="O43" s="105">
        <f t="shared" si="56"/>
        <v>0.39879091629856156</v>
      </c>
      <c r="P43" s="105">
        <f t="shared" si="56"/>
        <v>0.40755974396811101</v>
      </c>
      <c r="Q43" s="105">
        <f t="shared" si="56"/>
        <v>0.41060612750312075</v>
      </c>
    </row>
    <row r="44" spans="2:17" x14ac:dyDescent="0.2">
      <c r="B44" s="45" t="s">
        <v>220</v>
      </c>
      <c r="C44" s="104">
        <f>C42/C$46</f>
        <v>0.41189476011496795</v>
      </c>
      <c r="D44" s="104">
        <f t="shared" ref="D44:Q44" si="57">D42/D$46</f>
        <v>0.50573144104803491</v>
      </c>
      <c r="E44" s="104">
        <f t="shared" si="57"/>
        <v>1.0547978567949343</v>
      </c>
      <c r="F44" s="104">
        <f t="shared" si="57"/>
        <v>0.58739231945898074</v>
      </c>
      <c r="G44" s="104">
        <f t="shared" si="57"/>
        <v>0.63276253352589229</v>
      </c>
      <c r="H44" s="104">
        <f t="shared" si="57"/>
        <v>0.59089916590244118</v>
      </c>
      <c r="I44" s="104">
        <f t="shared" si="57"/>
        <v>0.74488524458378558</v>
      </c>
      <c r="J44" s="104">
        <f t="shared" si="57"/>
        <v>1.8648758981058131</v>
      </c>
      <c r="K44" s="104">
        <f t="shared" si="57"/>
        <v>0.668376207532834</v>
      </c>
      <c r="L44" s="104">
        <f t="shared" si="57"/>
        <v>0.59854501762240253</v>
      </c>
      <c r="M44" s="104">
        <f t="shared" si="57"/>
        <v>0.55051075912039549</v>
      </c>
      <c r="N44" s="104">
        <f t="shared" si="57"/>
        <v>0.55106718147349654</v>
      </c>
      <c r="O44" s="104">
        <f t="shared" si="57"/>
        <v>0.59584436976358679</v>
      </c>
      <c r="P44" s="104">
        <f t="shared" si="57"/>
        <v>0.6216646591057573</v>
      </c>
      <c r="Q44" s="104">
        <f t="shared" si="57"/>
        <v>0.64621177720563361</v>
      </c>
    </row>
    <row r="45" spans="2:17" x14ac:dyDescent="0.2"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</row>
    <row r="46" spans="2:17" x14ac:dyDescent="0.2">
      <c r="B46" s="40" t="s">
        <v>16</v>
      </c>
      <c r="C46" s="96">
        <f>C34+C38+C42</f>
        <v>4523</v>
      </c>
      <c r="D46" s="96">
        <f t="shared" ref="D46:Q46" si="58">D34+D38+D42</f>
        <v>7328</v>
      </c>
      <c r="E46" s="96">
        <f t="shared" si="58"/>
        <v>4106</v>
      </c>
      <c r="F46" s="96">
        <f t="shared" si="58"/>
        <v>12421</v>
      </c>
      <c r="G46" s="96">
        <f t="shared" si="58"/>
        <v>14541</v>
      </c>
      <c r="H46" s="96">
        <f t="shared" si="58"/>
        <v>22899</v>
      </c>
      <c r="I46" s="96">
        <f t="shared" si="58"/>
        <v>24879</v>
      </c>
      <c r="J46" s="96">
        <f t="shared" si="58"/>
        <v>12248</v>
      </c>
      <c r="K46" s="96">
        <f t="shared" si="58"/>
        <v>36852</v>
      </c>
      <c r="L46" s="96">
        <f t="shared" si="58"/>
        <v>62270.17</v>
      </c>
      <c r="M46" s="96">
        <f t="shared" si="58"/>
        <v>77775.41</v>
      </c>
      <c r="N46" s="96">
        <f t="shared" si="58"/>
        <v>97823.1</v>
      </c>
      <c r="O46" s="96">
        <f t="shared" si="58"/>
        <v>118182.7060444323</v>
      </c>
      <c r="P46" s="96">
        <f t="shared" si="58"/>
        <v>136838.2435031237</v>
      </c>
      <c r="Q46" s="97">
        <f t="shared" si="58"/>
        <v>158304.14054407948</v>
      </c>
    </row>
    <row r="47" spans="2:17" x14ac:dyDescent="0.2">
      <c r="B47" s="98" t="s">
        <v>31</v>
      </c>
      <c r="C47" s="99">
        <f>C46/C29</f>
        <v>4.2268657832271087E-2</v>
      </c>
      <c r="D47" s="99">
        <f t="shared" ref="D47:Q47" si="59">D46/D29</f>
        <v>5.3887503952583703E-2</v>
      </c>
      <c r="E47" s="99">
        <f t="shared" si="59"/>
        <v>2.3084794170892695E-2</v>
      </c>
      <c r="F47" s="99">
        <f t="shared" si="59"/>
        <v>5.3334879147397665E-2</v>
      </c>
      <c r="G47" s="99">
        <f t="shared" si="59"/>
        <v>5.1835506662579051E-2</v>
      </c>
      <c r="H47" s="99">
        <f t="shared" si="59"/>
        <v>5.9313999751336569E-2</v>
      </c>
      <c r="I47" s="99">
        <f t="shared" si="59"/>
        <v>5.2954097509269465E-2</v>
      </c>
      <c r="J47" s="99">
        <f t="shared" si="59"/>
        <v>2.3829581912242232E-2</v>
      </c>
      <c r="K47" s="99">
        <f t="shared" si="59"/>
        <v>6.4114407996033296E-2</v>
      </c>
      <c r="L47" s="99">
        <f t="shared" si="59"/>
        <v>9.7963599236052773E-2</v>
      </c>
      <c r="M47" s="99">
        <f t="shared" si="59"/>
        <v>0.1101995270407173</v>
      </c>
      <c r="N47" s="99">
        <f t="shared" si="59"/>
        <v>0.12464288308123957</v>
      </c>
      <c r="O47" s="99">
        <f t="shared" si="59"/>
        <v>0.1363709024118015</v>
      </c>
      <c r="P47" s="99">
        <f t="shared" si="59"/>
        <v>0.14336928805099891</v>
      </c>
      <c r="Q47" s="103">
        <f t="shared" si="59"/>
        <v>0.14992114954606189</v>
      </c>
    </row>
    <row r="49" spans="1:22" x14ac:dyDescent="0.2">
      <c r="A49" s="4" t="s">
        <v>1</v>
      </c>
      <c r="B49" s="8" t="s">
        <v>213</v>
      </c>
      <c r="C49" s="38">
        <v>2015</v>
      </c>
      <c r="D49" s="38">
        <v>2016</v>
      </c>
      <c r="E49" s="38">
        <v>2017</v>
      </c>
      <c r="F49" s="38">
        <v>2018</v>
      </c>
      <c r="G49" s="38">
        <v>2019</v>
      </c>
      <c r="H49" s="38">
        <v>2020</v>
      </c>
      <c r="I49" s="38">
        <v>2021</v>
      </c>
      <c r="J49" s="38">
        <v>2022</v>
      </c>
      <c r="K49" s="38">
        <v>2023</v>
      </c>
      <c r="L49" s="39">
        <v>2024</v>
      </c>
      <c r="M49" s="39">
        <v>2025</v>
      </c>
      <c r="N49" s="39">
        <v>2026</v>
      </c>
      <c r="O49" s="39">
        <v>2027</v>
      </c>
      <c r="P49" s="39">
        <v>2028</v>
      </c>
      <c r="Q49" s="39">
        <v>2029</v>
      </c>
    </row>
    <row r="50" spans="1:22" ht="5" customHeight="1" x14ac:dyDescent="0.2"/>
    <row r="51" spans="1:22" x14ac:dyDescent="0.2">
      <c r="B51" t="s">
        <v>34</v>
      </c>
      <c r="C51" s="102">
        <f>IS!C31</f>
        <v>950</v>
      </c>
      <c r="D51" s="102">
        <f>IS!D31</f>
        <v>1425</v>
      </c>
      <c r="E51" s="102">
        <f>IS!E31</f>
        <v>769</v>
      </c>
      <c r="F51" s="102">
        <f>IS!F31</f>
        <v>1197</v>
      </c>
      <c r="G51" s="102">
        <f>IS!G31</f>
        <v>2374</v>
      </c>
      <c r="H51" s="102">
        <f>IS!H31</f>
        <v>2863</v>
      </c>
      <c r="I51" s="102">
        <f>IS!I31</f>
        <v>4791</v>
      </c>
      <c r="J51" s="102">
        <f>IS!J31</f>
        <v>-3217</v>
      </c>
      <c r="K51" s="102">
        <f>IS!K31</f>
        <v>7120</v>
      </c>
      <c r="L51" s="102">
        <f>IS!L31</f>
        <v>9602</v>
      </c>
      <c r="M51" s="102"/>
      <c r="N51" s="102"/>
      <c r="O51" s="102"/>
      <c r="P51" s="102"/>
      <c r="Q51" s="102"/>
    </row>
    <row r="52" spans="1:22" x14ac:dyDescent="0.2">
      <c r="B52" s="45" t="s">
        <v>35</v>
      </c>
      <c r="C52" s="104">
        <f>IF(C51&lt;0,"--",IS!C31/IS!C30)</f>
        <v>0.60586734693877553</v>
      </c>
      <c r="D52" s="104">
        <f>IF(D51&lt;0,"--",IS!D31/IS!D30)</f>
        <v>0.36613566289825283</v>
      </c>
      <c r="E52" s="104">
        <f>IF(E51&lt;0,"--",IS!E31/IS!E30)</f>
        <v>0.20204939569101418</v>
      </c>
      <c r="F52" s="104">
        <f>IF(F51&lt;0,"--",IS!F31/IS!F30)</f>
        <v>0.10629606606873279</v>
      </c>
      <c r="G52" s="104">
        <f>IF(G51&lt;0,"--",IS!G31/IS!G30)</f>
        <v>0.16986262163709215</v>
      </c>
      <c r="H52" s="104">
        <f>IF(H51&lt;0,"--",IS!H31/IS!H30)</f>
        <v>0.1184134337000579</v>
      </c>
      <c r="I52" s="104">
        <f>IF(I51&lt;0,"--",IS!I31/IS!I30)</f>
        <v>0.12557993237398757</v>
      </c>
      <c r="J52" s="106" t="str">
        <f>IF(J51&lt;0,"--",IS!J31/IS!J30)</f>
        <v>--</v>
      </c>
      <c r="K52" s="104">
        <f>IF(K51&lt;0,"--",IS!K31/IS!K30)</f>
        <v>0.18957850733551668</v>
      </c>
      <c r="L52" s="104">
        <f>IF(L51&lt;0,"--",IS!L31/IS!L30)</f>
        <v>0.17747629521468311</v>
      </c>
      <c r="M52" s="108">
        <f>AVERAGE(H52:L52)</f>
        <v>0.15276204215606132</v>
      </c>
      <c r="N52" s="108">
        <f t="shared" ref="N52" si="60">AVERAGE(I52:M52)</f>
        <v>0.16134919427006217</v>
      </c>
      <c r="O52" s="108">
        <f t="shared" ref="O52" si="61">AVERAGE(J52:N52)</f>
        <v>0.1702915097440808</v>
      </c>
      <c r="P52" s="108">
        <f t="shared" ref="P52" si="62">AVERAGE(K52:O52)</f>
        <v>0.1702915097440808</v>
      </c>
      <c r="Q52" s="108">
        <f t="shared" ref="Q52" si="63">AVERAGE(L52:P52)</f>
        <v>0.16643411022579363</v>
      </c>
    </row>
    <row r="54" spans="1:22" x14ac:dyDescent="0.2">
      <c r="A54" s="4" t="s">
        <v>1</v>
      </c>
      <c r="B54" s="8" t="s">
        <v>38</v>
      </c>
      <c r="C54" s="38">
        <v>2015</v>
      </c>
      <c r="D54" s="38">
        <f t="shared" ref="D54:Q54" si="64">C54+1</f>
        <v>2016</v>
      </c>
      <c r="E54" s="38">
        <f t="shared" si="64"/>
        <v>2017</v>
      </c>
      <c r="F54" s="38">
        <f t="shared" si="64"/>
        <v>2018</v>
      </c>
      <c r="G54" s="38">
        <f t="shared" si="64"/>
        <v>2019</v>
      </c>
      <c r="H54" s="38">
        <f t="shared" si="64"/>
        <v>2020</v>
      </c>
      <c r="I54" s="38">
        <f t="shared" si="64"/>
        <v>2021</v>
      </c>
      <c r="J54" s="38">
        <f t="shared" si="64"/>
        <v>2022</v>
      </c>
      <c r="K54" s="38">
        <f t="shared" si="64"/>
        <v>2023</v>
      </c>
      <c r="L54" s="39">
        <f t="shared" si="64"/>
        <v>2024</v>
      </c>
      <c r="M54" s="39">
        <f t="shared" si="64"/>
        <v>2025</v>
      </c>
      <c r="N54" s="39">
        <f t="shared" si="64"/>
        <v>2026</v>
      </c>
      <c r="O54" s="39">
        <f t="shared" si="64"/>
        <v>2027</v>
      </c>
      <c r="P54" s="39">
        <f t="shared" si="64"/>
        <v>2028</v>
      </c>
      <c r="Q54" s="39">
        <f t="shared" si="64"/>
        <v>2029</v>
      </c>
    </row>
    <row r="55" spans="1:22" ht="5" customHeight="1" x14ac:dyDescent="0.2"/>
    <row r="56" spans="1:22" x14ac:dyDescent="0.2">
      <c r="B56" t="s">
        <v>105</v>
      </c>
      <c r="I56" s="126">
        <f>I58*I$75</f>
        <v>13823.792570605438</v>
      </c>
      <c r="J56" s="126">
        <f>J58*J$75</f>
        <v>19451.788035628309</v>
      </c>
      <c r="K56" s="126">
        <f>K58*K$75</f>
        <v>22021.919404466502</v>
      </c>
      <c r="L56" s="126">
        <f>L59*L$17</f>
        <v>22347.588303847355</v>
      </c>
      <c r="M56" s="126">
        <f t="shared" ref="M56:Q56" si="65">M59*M$17</f>
        <v>25660.826941858202</v>
      </c>
      <c r="N56" s="126">
        <f t="shared" si="65"/>
        <v>27813.123509098012</v>
      </c>
      <c r="O56" s="126">
        <f t="shared" si="65"/>
        <v>29623.91757187941</v>
      </c>
      <c r="P56" s="126">
        <f t="shared" si="65"/>
        <v>32855.579912787827</v>
      </c>
      <c r="Q56" s="126">
        <f t="shared" si="65"/>
        <v>35444.42800582941</v>
      </c>
      <c r="R56" s="36"/>
      <c r="S56" s="36"/>
      <c r="T56" s="36"/>
    </row>
    <row r="57" spans="1:22" x14ac:dyDescent="0.2">
      <c r="B57" t="s">
        <v>249</v>
      </c>
      <c r="I57" s="125">
        <v>9234</v>
      </c>
      <c r="J57" s="125">
        <v>11565</v>
      </c>
      <c r="K57" s="125">
        <v>13678</v>
      </c>
      <c r="L57" s="36"/>
      <c r="M57" s="36"/>
      <c r="N57" s="36"/>
      <c r="P57" s="36"/>
      <c r="Q57" s="36"/>
      <c r="R57" s="36"/>
      <c r="S57" s="36"/>
      <c r="T57" s="36"/>
    </row>
    <row r="58" spans="1:22" x14ac:dyDescent="0.2">
      <c r="B58" s="45" t="s">
        <v>248</v>
      </c>
      <c r="I58" s="104">
        <f>I57/I$73</f>
        <v>0.40307302806757167</v>
      </c>
      <c r="J58" s="104">
        <f>J57/J$73</f>
        <v>0.4640105922002889</v>
      </c>
      <c r="K58" s="104">
        <f>K57/K$73</f>
        <v>0.45253928866832094</v>
      </c>
    </row>
    <row r="59" spans="1:22" x14ac:dyDescent="0.2">
      <c r="B59" s="45" t="s">
        <v>253</v>
      </c>
      <c r="I59" s="104">
        <f>I56/I17</f>
        <v>4.9400151413898426E-2</v>
      </c>
      <c r="J59" s="104">
        <f t="shared" ref="J59:K59" si="66">J56/J17</f>
        <v>6.1579675939053787E-2</v>
      </c>
      <c r="K59" s="104">
        <f t="shared" si="66"/>
        <v>6.241545286787472E-2</v>
      </c>
      <c r="L59" s="108">
        <f>AVERAGE(I59:K59)</f>
        <v>5.7798426740275639E-2</v>
      </c>
      <c r="M59" s="108">
        <f t="shared" ref="M59:Q59" si="67">AVERAGE(J59:L59)</f>
        <v>6.0597851849068046E-2</v>
      </c>
      <c r="N59" s="108">
        <f t="shared" si="67"/>
        <v>6.0270577152406135E-2</v>
      </c>
      <c r="O59" s="108">
        <f t="shared" si="67"/>
        <v>5.9555618580583274E-2</v>
      </c>
      <c r="P59" s="108">
        <f t="shared" si="67"/>
        <v>6.0141349194019152E-2</v>
      </c>
      <c r="Q59" s="108">
        <f t="shared" si="67"/>
        <v>5.9989181642336187E-2</v>
      </c>
    </row>
    <row r="61" spans="1:22" x14ac:dyDescent="0.2">
      <c r="B61" t="s">
        <v>104</v>
      </c>
      <c r="I61" s="126">
        <f>I63*I$75</f>
        <v>4524.0958575232435</v>
      </c>
      <c r="J61" s="126">
        <f t="shared" ref="J61:K61" si="68">J63*J$75</f>
        <v>5858.2427780452572</v>
      </c>
      <c r="K61" s="126">
        <f t="shared" si="68"/>
        <v>6465.8596526054598</v>
      </c>
      <c r="L61" s="126">
        <f>L64*L$21</f>
        <v>6333.3464994478427</v>
      </c>
      <c r="M61" s="126">
        <f t="shared" ref="M61:Q61" si="69">M64*M$21</f>
        <v>7409.2751380164646</v>
      </c>
      <c r="N61" s="126">
        <f t="shared" si="69"/>
        <v>8125.2405079920536</v>
      </c>
      <c r="O61" s="126">
        <f t="shared" si="69"/>
        <v>8989.2443340027894</v>
      </c>
      <c r="P61" s="126">
        <f t="shared" si="69"/>
        <v>9431.4536387874577</v>
      </c>
      <c r="Q61" s="126">
        <f t="shared" si="69"/>
        <v>10168.922194020122</v>
      </c>
      <c r="R61" s="125"/>
      <c r="S61" s="125"/>
      <c r="T61" s="125"/>
      <c r="V61" s="125"/>
    </row>
    <row r="62" spans="1:22" x14ac:dyDescent="0.2">
      <c r="B62" t="s">
        <v>250</v>
      </c>
      <c r="I62" s="125">
        <v>3022</v>
      </c>
      <c r="J62" s="125">
        <v>3483</v>
      </c>
      <c r="K62" s="125">
        <v>4016</v>
      </c>
    </row>
    <row r="63" spans="1:22" x14ac:dyDescent="0.2">
      <c r="B63" s="45" t="s">
        <v>248</v>
      </c>
      <c r="I63" s="104">
        <f>I62/I$73</f>
        <v>0.13191322187786458</v>
      </c>
      <c r="J63" s="104">
        <f>J62/J$73</f>
        <v>0.13974482426576793</v>
      </c>
      <c r="K63" s="104">
        <f>K62/K$73</f>
        <v>0.13287014061207611</v>
      </c>
      <c r="M63" s="45"/>
    </row>
    <row r="64" spans="1:22" x14ac:dyDescent="0.2">
      <c r="B64" s="45" t="s">
        <v>254</v>
      </c>
      <c r="I64" s="104">
        <f>I61/I21</f>
        <v>3.5403412377810292E-2</v>
      </c>
      <c r="J64" s="104">
        <f>J61/J21</f>
        <v>4.9643180303246902E-2</v>
      </c>
      <c r="K64" s="104">
        <f>K61/K21</f>
        <v>4.9282466864370884E-2</v>
      </c>
      <c r="L64" s="108">
        <f>AVERAGE(I64:K64)</f>
        <v>4.4776353181809357E-2</v>
      </c>
      <c r="M64" s="108">
        <f t="shared" ref="M64" si="70">AVERAGE(J64:L64)</f>
        <v>4.7900666783142386E-2</v>
      </c>
      <c r="N64" s="108">
        <f t="shared" ref="N64" si="71">AVERAGE(K64:M64)</f>
        <v>4.7319828943107545E-2</v>
      </c>
      <c r="O64" s="108">
        <f t="shared" ref="O64" si="72">AVERAGE(L64:N64)</f>
        <v>4.6665616302686432E-2</v>
      </c>
      <c r="P64" s="108">
        <f t="shared" ref="P64" si="73">AVERAGE(M64:O64)</f>
        <v>4.7295370676312121E-2</v>
      </c>
      <c r="Q64" s="108">
        <f t="shared" ref="Q64" si="74">AVERAGE(N64:P64)</f>
        <v>4.7093605307368697E-2</v>
      </c>
    </row>
    <row r="66" spans="1:22" x14ac:dyDescent="0.2">
      <c r="B66" t="s">
        <v>216</v>
      </c>
      <c r="I66" s="126">
        <f>I68*I$75</f>
        <v>15948.111571871317</v>
      </c>
      <c r="J66" s="126">
        <f t="shared" ref="J66:K66" si="75">J68*J$75</f>
        <v>16610.969186326434</v>
      </c>
      <c r="K66" s="126">
        <f t="shared" si="75"/>
        <v>20175.220942928041</v>
      </c>
      <c r="L66" s="126">
        <f>L69*L$25</f>
        <v>24597.106072990468</v>
      </c>
      <c r="M66" s="126">
        <f t="shared" ref="M66:Q66" si="76">M69*M$25</f>
        <v>28009.277861442701</v>
      </c>
      <c r="N66" s="126">
        <f t="shared" si="76"/>
        <v>33890.724153058196</v>
      </c>
      <c r="O66" s="126">
        <f t="shared" si="76"/>
        <v>39532.605399858847</v>
      </c>
      <c r="P66" s="126">
        <f t="shared" si="76"/>
        <v>46394.049540512453</v>
      </c>
      <c r="Q66" s="126">
        <f t="shared" si="76"/>
        <v>55610.999153529621</v>
      </c>
      <c r="R66" s="125"/>
      <c r="S66" s="125"/>
      <c r="T66" s="125"/>
      <c r="V66" s="125"/>
    </row>
    <row r="67" spans="1:22" x14ac:dyDescent="0.2">
      <c r="B67" t="s">
        <v>251</v>
      </c>
      <c r="I67" s="125">
        <v>10653</v>
      </c>
      <c r="J67" s="125">
        <v>9876</v>
      </c>
      <c r="K67" s="125">
        <v>12531</v>
      </c>
      <c r="L67" s="125"/>
      <c r="M67" s="125"/>
      <c r="N67" s="125"/>
      <c r="P67" s="125"/>
      <c r="Q67" s="125"/>
      <c r="R67" s="125"/>
      <c r="S67" s="125"/>
      <c r="T67" s="125"/>
      <c r="V67" s="125"/>
    </row>
    <row r="68" spans="1:22" x14ac:dyDescent="0.2">
      <c r="B68" s="45" t="s">
        <v>248</v>
      </c>
      <c r="I68" s="104">
        <f>I67/I$73</f>
        <v>0.46501375005456369</v>
      </c>
      <c r="J68" s="104">
        <f>J67/J$73</f>
        <v>0.39624458353394321</v>
      </c>
      <c r="K68" s="104">
        <f>K67/K$73</f>
        <v>0.41459057071960298</v>
      </c>
    </row>
    <row r="69" spans="1:22" x14ac:dyDescent="0.2">
      <c r="B69" s="45" t="s">
        <v>255</v>
      </c>
      <c r="I69" s="104">
        <f>I66/I25</f>
        <v>0.25639226346212851</v>
      </c>
      <c r="J69" s="104">
        <f>J66/J25</f>
        <v>0.20738824893036401</v>
      </c>
      <c r="K69" s="104">
        <f>K66/K25</f>
        <v>0.22229933716328262</v>
      </c>
      <c r="L69" s="108">
        <f>AVERAGE(I69:K69)</f>
        <v>0.22869328318525839</v>
      </c>
      <c r="M69" s="108">
        <f t="shared" ref="M69" si="77">AVERAGE(J69:L69)</f>
        <v>0.21946028975963502</v>
      </c>
      <c r="N69" s="108">
        <f t="shared" ref="N69" si="78">AVERAGE(K69:M69)</f>
        <v>0.22348430336939204</v>
      </c>
      <c r="O69" s="108">
        <f t="shared" ref="O69" si="79">AVERAGE(L69:N69)</f>
        <v>0.22387929210476185</v>
      </c>
      <c r="P69" s="108">
        <f t="shared" ref="P69" si="80">AVERAGE(M69:O69)</f>
        <v>0.22227462841126297</v>
      </c>
      <c r="Q69" s="108">
        <f t="shared" ref="Q69" si="81">AVERAGE(N69:P69)</f>
        <v>0.22321274129513893</v>
      </c>
    </row>
    <row r="70" spans="1:22" x14ac:dyDescent="0.2">
      <c r="B70" s="45"/>
    </row>
    <row r="71" spans="1:22" x14ac:dyDescent="0.2">
      <c r="B71" s="40" t="s">
        <v>247</v>
      </c>
      <c r="C71" s="131"/>
      <c r="D71" s="131"/>
      <c r="E71" s="131"/>
      <c r="F71" s="131"/>
      <c r="G71" s="131"/>
      <c r="H71" s="131"/>
      <c r="I71" s="132">
        <f>I56+I61+I66</f>
        <v>34296</v>
      </c>
      <c r="J71" s="132">
        <f>J56+J61+J66</f>
        <v>41921</v>
      </c>
      <c r="K71" s="132">
        <f>K56+K61+K66</f>
        <v>48663</v>
      </c>
      <c r="L71" s="132">
        <f t="shared" ref="L71:Q71" si="82">L56+L61+L66</f>
        <v>53278.040876285668</v>
      </c>
      <c r="M71" s="132">
        <f t="shared" si="82"/>
        <v>61079.379941317369</v>
      </c>
      <c r="N71" s="132">
        <f t="shared" si="82"/>
        <v>69829.088170148258</v>
      </c>
      <c r="O71" s="132">
        <f t="shared" si="82"/>
        <v>78145.767305741043</v>
      </c>
      <c r="P71" s="132">
        <f t="shared" si="82"/>
        <v>88681.083092087734</v>
      </c>
      <c r="Q71" s="154">
        <f t="shared" si="82"/>
        <v>101224.34935337916</v>
      </c>
    </row>
    <row r="72" spans="1:22" x14ac:dyDescent="0.2">
      <c r="B72" s="141" t="s">
        <v>219</v>
      </c>
      <c r="C72" s="148"/>
      <c r="D72" s="148"/>
      <c r="E72" s="148"/>
      <c r="F72" s="148"/>
      <c r="G72" s="148"/>
      <c r="H72" s="148"/>
      <c r="I72" s="149">
        <f>I71/I$29</f>
        <v>7.2997858763531723E-2</v>
      </c>
      <c r="J72" s="149">
        <f t="shared" ref="J72:K72" si="83">J71/J$29</f>
        <v>8.1561063303650122E-2</v>
      </c>
      <c r="K72" s="149">
        <f t="shared" si="83"/>
        <v>8.4662960933218512E-2</v>
      </c>
      <c r="L72" s="149">
        <f t="shared" ref="L72" si="84">L71/L$29</f>
        <v>8.3817157468599926E-2</v>
      </c>
      <c r="M72" s="149">
        <f t="shared" ref="M72" si="85">M71/M$29</f>
        <v>8.6543018949992653E-2</v>
      </c>
      <c r="N72" s="149">
        <f t="shared" ref="N72" si="86">N71/N$29</f>
        <v>8.8973860698151636E-2</v>
      </c>
      <c r="O72" s="149">
        <f t="shared" ref="O72" si="87">O71/O$29</f>
        <v>9.0172320162816344E-2</v>
      </c>
      <c r="P72" s="149">
        <f t="shared" ref="P72" si="88">P71/P$29</f>
        <v>9.2913672530544139E-2</v>
      </c>
      <c r="Q72" s="155">
        <f t="shared" ref="Q72" si="89">Q71/Q$29</f>
        <v>9.5864016979929426E-2</v>
      </c>
    </row>
    <row r="73" spans="1:22" x14ac:dyDescent="0.2">
      <c r="B73" s="133" t="s">
        <v>252</v>
      </c>
      <c r="C73" s="134"/>
      <c r="D73" s="134"/>
      <c r="E73" s="134"/>
      <c r="F73" s="134"/>
      <c r="G73" s="134"/>
      <c r="H73" s="134"/>
      <c r="I73" s="135">
        <f>I57+I62+I67</f>
        <v>22909</v>
      </c>
      <c r="J73" s="135">
        <f>J57+J62+J67</f>
        <v>24924</v>
      </c>
      <c r="K73" s="135">
        <f>K57+K62+K67</f>
        <v>30225</v>
      </c>
      <c r="L73" s="136"/>
      <c r="M73" s="136"/>
      <c r="N73" s="136"/>
      <c r="O73" s="136"/>
      <c r="P73" s="136"/>
      <c r="Q73" s="137"/>
    </row>
    <row r="74" spans="1:22" x14ac:dyDescent="0.2">
      <c r="B74" s="45"/>
      <c r="I74" s="14"/>
      <c r="J74" s="14"/>
      <c r="K74" s="14"/>
    </row>
    <row r="75" spans="1:22" x14ac:dyDescent="0.2">
      <c r="B75" s="40" t="s">
        <v>256</v>
      </c>
      <c r="C75" s="138">
        <f>CFS!C12</f>
        <v>5646</v>
      </c>
      <c r="D75" s="138">
        <f>CFS!D12</f>
        <v>7482</v>
      </c>
      <c r="E75" s="138">
        <f>CFS!E12</f>
        <v>10933</v>
      </c>
      <c r="F75" s="138">
        <f>CFS!F12</f>
        <v>15341</v>
      </c>
      <c r="G75" s="138">
        <f>CFS!G12</f>
        <v>21789</v>
      </c>
      <c r="H75" s="138">
        <f>CFS!H12</f>
        <v>25251</v>
      </c>
      <c r="I75" s="138">
        <f>CFS!I12</f>
        <v>34296</v>
      </c>
      <c r="J75" s="138">
        <f>CFS!J12</f>
        <v>41921</v>
      </c>
      <c r="K75" s="138">
        <f>CFS!K12</f>
        <v>48663</v>
      </c>
      <c r="L75" s="138">
        <f>CFS!L12</f>
        <v>49673</v>
      </c>
      <c r="M75" s="139">
        <f>M76*M$29</f>
        <v>54029.981256774641</v>
      </c>
      <c r="N75" s="139">
        <f>N76*N$29</f>
        <v>61832.178815252708</v>
      </c>
      <c r="O75" s="139">
        <f>O76*O$29</f>
        <v>69279.715031460539</v>
      </c>
      <c r="P75" s="139">
        <f>P76*P$29</f>
        <v>75991.021748701343</v>
      </c>
      <c r="Q75" s="140">
        <f>Q76*Q$29</f>
        <v>83004.429599953422</v>
      </c>
    </row>
    <row r="76" spans="1:22" x14ac:dyDescent="0.2">
      <c r="B76" s="141" t="s">
        <v>31</v>
      </c>
      <c r="C76" s="142">
        <f t="shared" ref="C76:L76" si="90">C75/C$29</f>
        <v>5.2763396445059153E-2</v>
      </c>
      <c r="D76" s="142">
        <f t="shared" si="90"/>
        <v>5.5019965143726972E-2</v>
      </c>
      <c r="E76" s="142">
        <f t="shared" si="90"/>
        <v>6.1467621692734981E-2</v>
      </c>
      <c r="F76" s="142">
        <f t="shared" si="90"/>
        <v>6.5873148780309768E-2</v>
      </c>
      <c r="G76" s="142">
        <f t="shared" si="90"/>
        <v>7.7673052380918428E-2</v>
      </c>
      <c r="H76" s="142">
        <f t="shared" si="90"/>
        <v>6.5406253885366153E-2</v>
      </c>
      <c r="I76" s="142">
        <f t="shared" si="90"/>
        <v>7.2997858763531723E-2</v>
      </c>
      <c r="J76" s="142">
        <f t="shared" si="90"/>
        <v>8.1561063303650122E-2</v>
      </c>
      <c r="K76" s="142">
        <f t="shared" si="90"/>
        <v>8.4662960933218512E-2</v>
      </c>
      <c r="L76" s="142">
        <f t="shared" si="90"/>
        <v>7.8145697447950593E-2</v>
      </c>
      <c r="M76" s="143">
        <f>AVERAGE(H76:L76)</f>
        <v>7.6554766866743423E-2</v>
      </c>
      <c r="N76" s="143">
        <f t="shared" ref="N76:Q76" si="91">AVERAGE(I76:M76)</f>
        <v>7.8784469463018869E-2</v>
      </c>
      <c r="O76" s="143">
        <f t="shared" si="91"/>
        <v>7.9941791602916298E-2</v>
      </c>
      <c r="P76" s="143">
        <f t="shared" si="91"/>
        <v>7.9617937262769542E-2</v>
      </c>
      <c r="Q76" s="144">
        <f t="shared" si="91"/>
        <v>7.8608932528679759E-2</v>
      </c>
    </row>
    <row r="77" spans="1:22" x14ac:dyDescent="0.2">
      <c r="B77" s="98" t="s">
        <v>42</v>
      </c>
      <c r="C77" s="145">
        <f t="shared" ref="C77:L77" si="92">C75/C100</f>
        <v>1.2303334059707998</v>
      </c>
      <c r="D77" s="145">
        <f t="shared" si="92"/>
        <v>1.1105833457028351</v>
      </c>
      <c r="E77" s="145">
        <f t="shared" si="92"/>
        <v>0.91451275616896699</v>
      </c>
      <c r="F77" s="145">
        <f t="shared" si="92"/>
        <v>1.142548596112311</v>
      </c>
      <c r="G77" s="145">
        <f t="shared" si="92"/>
        <v>1.2922721072297016</v>
      </c>
      <c r="H77" s="145">
        <f t="shared" si="92"/>
        <v>0.62907324364723471</v>
      </c>
      <c r="I77" s="145">
        <f t="shared" si="92"/>
        <v>0.56174143776718588</v>
      </c>
      <c r="J77" s="145">
        <f t="shared" si="92"/>
        <v>0.65866918061120272</v>
      </c>
      <c r="K77" s="145">
        <f t="shared" si="92"/>
        <v>0.92288873295529972</v>
      </c>
      <c r="L77" s="145">
        <f t="shared" si="92"/>
        <v>0.8332718244648728</v>
      </c>
      <c r="M77" s="146"/>
      <c r="N77" s="134"/>
      <c r="O77" s="134"/>
      <c r="P77" s="134"/>
      <c r="Q77" s="147"/>
    </row>
    <row r="78" spans="1:22" x14ac:dyDescent="0.2">
      <c r="B78" s="45"/>
      <c r="C78" s="107"/>
      <c r="D78" s="104"/>
      <c r="E78" s="104"/>
      <c r="F78" s="104"/>
      <c r="G78" s="104"/>
      <c r="H78" s="104"/>
      <c r="I78" s="104"/>
      <c r="J78" s="104"/>
      <c r="K78" s="104"/>
      <c r="L78" s="104"/>
    </row>
    <row r="79" spans="1:22" x14ac:dyDescent="0.2">
      <c r="A79" s="4" t="s">
        <v>1</v>
      </c>
      <c r="B79" s="8" t="s">
        <v>40</v>
      </c>
      <c r="C79" s="38">
        <v>2015</v>
      </c>
      <c r="D79" s="38">
        <f t="shared" ref="D79" si="93">C79+1</f>
        <v>2016</v>
      </c>
      <c r="E79" s="38">
        <f t="shared" ref="E79" si="94">D79+1</f>
        <v>2017</v>
      </c>
      <c r="F79" s="38">
        <f t="shared" ref="F79" si="95">E79+1</f>
        <v>2018</v>
      </c>
      <c r="G79" s="38">
        <f t="shared" ref="G79" si="96">F79+1</f>
        <v>2019</v>
      </c>
      <c r="H79" s="38">
        <f t="shared" ref="H79" si="97">G79+1</f>
        <v>2020</v>
      </c>
      <c r="I79" s="38">
        <f t="shared" ref="I79" si="98">H79+1</f>
        <v>2021</v>
      </c>
      <c r="J79" s="38">
        <f t="shared" ref="J79" si="99">I79+1</f>
        <v>2022</v>
      </c>
      <c r="K79" s="38">
        <f t="shared" ref="K79" si="100">J79+1</f>
        <v>2023</v>
      </c>
      <c r="L79" s="39">
        <f t="shared" ref="L79" si="101">K79+1</f>
        <v>2024</v>
      </c>
      <c r="M79" s="39">
        <f t="shared" ref="M79" si="102">L79+1</f>
        <v>2025</v>
      </c>
      <c r="N79" s="39">
        <f t="shared" ref="N79" si="103">M79+1</f>
        <v>2026</v>
      </c>
      <c r="O79" s="39">
        <f t="shared" ref="O79" si="104">N79+1</f>
        <v>2027</v>
      </c>
      <c r="P79" s="39">
        <f t="shared" ref="P79" si="105">O79+1</f>
        <v>2028</v>
      </c>
      <c r="Q79" s="39">
        <f t="shared" ref="Q79" si="106">P79+1</f>
        <v>2029</v>
      </c>
    </row>
    <row r="80" spans="1:22" ht="5" customHeight="1" x14ac:dyDescent="0.2"/>
    <row r="81" spans="2:22" x14ac:dyDescent="0.2">
      <c r="B81" t="s">
        <v>105</v>
      </c>
      <c r="I81" s="14">
        <f>I83*I$100</f>
        <v>32756.108646686658</v>
      </c>
      <c r="J81" s="14">
        <f t="shared" ref="J81:K81" si="107">J83*J$100</f>
        <v>25920.769243998075</v>
      </c>
      <c r="K81" s="14">
        <f t="shared" si="107"/>
        <v>19870.294973772467</v>
      </c>
      <c r="L81" s="126">
        <f>L84*L$17</f>
        <v>32920.679686744501</v>
      </c>
      <c r="M81" s="126">
        <f t="shared" ref="M81:Q81" si="108">M84*M$17</f>
        <v>31550.690155187796</v>
      </c>
      <c r="N81" s="126">
        <f t="shared" si="108"/>
        <v>33220.984657202869</v>
      </c>
      <c r="O81" s="126">
        <f t="shared" si="108"/>
        <v>38407.157688203937</v>
      </c>
      <c r="P81" s="126">
        <f t="shared" si="108"/>
        <v>40737.928523863367</v>
      </c>
      <c r="Q81" s="126">
        <f t="shared" si="108"/>
        <v>44071.765249185657</v>
      </c>
    </row>
    <row r="82" spans="2:22" x14ac:dyDescent="0.2">
      <c r="B82" t="s">
        <v>249</v>
      </c>
      <c r="I82" s="125">
        <v>37397</v>
      </c>
      <c r="J82" s="125">
        <v>23682</v>
      </c>
      <c r="K82" s="125">
        <v>17529</v>
      </c>
      <c r="L82" s="125"/>
      <c r="M82" s="125"/>
      <c r="N82" s="125"/>
      <c r="P82" s="125"/>
      <c r="Q82" s="125"/>
      <c r="R82" s="125"/>
      <c r="S82" s="125"/>
      <c r="T82" s="125"/>
    </row>
    <row r="83" spans="2:22" x14ac:dyDescent="0.2">
      <c r="B83" s="45" t="s">
        <v>257</v>
      </c>
      <c r="I83" s="104">
        <f>I82/I$98</f>
        <v>0.53651923159691839</v>
      </c>
      <c r="J83" s="104">
        <f t="shared" ref="J83:K83" si="109">J82/J$98</f>
        <v>0.40727110132764671</v>
      </c>
      <c r="K83" s="104">
        <f t="shared" si="109"/>
        <v>0.37683807722074125</v>
      </c>
      <c r="M83" s="45"/>
    </row>
    <row r="84" spans="2:22" x14ac:dyDescent="0.2">
      <c r="B84" s="45" t="s">
        <v>253</v>
      </c>
      <c r="I84" s="104">
        <f>I81/I17</f>
        <v>0.11705591780342797</v>
      </c>
      <c r="J84" s="104">
        <f>J81/J17</f>
        <v>8.2058912384443697E-2</v>
      </c>
      <c r="K84" s="104">
        <f>K81/K17</f>
        <v>5.6317228150182148E-2</v>
      </c>
      <c r="L84" s="108">
        <f>AVERAGE(I84:K84)</f>
        <v>8.5144019446017946E-2</v>
      </c>
      <c r="M84" s="108">
        <f t="shared" ref="M84" si="110">AVERAGE(J84:L84)</f>
        <v>7.4506719993547924E-2</v>
      </c>
      <c r="N84" s="108">
        <f t="shared" ref="N84" si="111">AVERAGE(K84:M84)</f>
        <v>7.1989322529916008E-2</v>
      </c>
      <c r="O84" s="108">
        <f t="shared" ref="O84" si="112">AVERAGE(L84:N84)</f>
        <v>7.7213353989827302E-2</v>
      </c>
      <c r="P84" s="108">
        <f t="shared" ref="P84" si="113">AVERAGE(M84:O84)</f>
        <v>7.4569798837763754E-2</v>
      </c>
      <c r="Q84" s="108">
        <f t="shared" ref="Q84" si="114">AVERAGE(N84:P84)</f>
        <v>7.4590825119169021E-2</v>
      </c>
    </row>
    <row r="85" spans="2:22" x14ac:dyDescent="0.2">
      <c r="M85" s="45"/>
    </row>
    <row r="86" spans="2:22" x14ac:dyDescent="0.2">
      <c r="B86" t="s">
        <v>104</v>
      </c>
      <c r="I86" s="14">
        <f>I88*I$100</f>
        <v>8985.8790439435888</v>
      </c>
      <c r="J86" s="14">
        <f t="shared" ref="J86:K86" si="115">J88*J$100</f>
        <v>7345.421940565454</v>
      </c>
      <c r="K86" s="14">
        <f t="shared" si="115"/>
        <v>4697.5014188666264</v>
      </c>
      <c r="L86" s="126">
        <f>L89*L$21</f>
        <v>7938.2601115820044</v>
      </c>
      <c r="M86" s="126">
        <f t="shared" ref="M86:Q86" si="116">M89*M$21</f>
        <v>7949.1476087912333</v>
      </c>
      <c r="N86" s="126">
        <f t="shared" si="116"/>
        <v>8202.9989228117538</v>
      </c>
      <c r="O86" s="126">
        <f t="shared" si="116"/>
        <v>9971.0036398586544</v>
      </c>
      <c r="P86" s="126">
        <f t="shared" si="116"/>
        <v>10032.339505004129</v>
      </c>
      <c r="Q86" s="126">
        <f t="shared" si="116"/>
        <v>10785.233770555706</v>
      </c>
    </row>
    <row r="87" spans="2:22" x14ac:dyDescent="0.2">
      <c r="B87" t="s">
        <v>250</v>
      </c>
      <c r="I87" s="125">
        <v>10259</v>
      </c>
      <c r="J87" s="125">
        <v>6711</v>
      </c>
      <c r="K87" s="125">
        <v>4144</v>
      </c>
      <c r="L87" s="125"/>
      <c r="M87" s="125"/>
      <c r="N87" s="125"/>
      <c r="P87" s="125"/>
      <c r="Q87" s="125"/>
      <c r="R87" s="125"/>
      <c r="S87" s="125"/>
      <c r="T87" s="125"/>
      <c r="V87" s="125"/>
    </row>
    <row r="88" spans="2:22" x14ac:dyDescent="0.2">
      <c r="B88" s="45" t="s">
        <v>257</v>
      </c>
      <c r="I88" s="104">
        <f>I87/I$98</f>
        <v>0.14718161341692609</v>
      </c>
      <c r="J88" s="104">
        <f t="shared" ref="J88" si="117">J87/J$98</f>
        <v>0.11541239595514893</v>
      </c>
      <c r="K88" s="104">
        <f t="shared" ref="K88" si="118">K87/K$98</f>
        <v>8.908762576317826E-2</v>
      </c>
      <c r="M88" s="45"/>
    </row>
    <row r="89" spans="2:22" x14ac:dyDescent="0.2">
      <c r="B89" s="45" t="s">
        <v>254</v>
      </c>
      <c r="I89" s="104">
        <f>I86/I21</f>
        <v>7.0319195567182802E-2</v>
      </c>
      <c r="J89" s="104">
        <f t="shared" ref="J89:K89" si="119">J86/J21</f>
        <v>6.224564594104972E-2</v>
      </c>
      <c r="K89" s="104">
        <f t="shared" si="119"/>
        <v>3.5804126668190751E-2</v>
      </c>
      <c r="L89" s="108">
        <f>AVERAGE(I89:K89)</f>
        <v>5.6122989392141089E-2</v>
      </c>
      <c r="M89" s="108">
        <f t="shared" ref="M89" si="120">AVERAGE(J89:L89)</f>
        <v>5.1390920667127186E-2</v>
      </c>
      <c r="N89" s="108">
        <f t="shared" ref="N89" si="121">AVERAGE(K89:M89)</f>
        <v>4.7772678909153009E-2</v>
      </c>
      <c r="O89" s="108">
        <f t="shared" ref="O89" si="122">AVERAGE(L89:N89)</f>
        <v>5.1762196322807097E-2</v>
      </c>
      <c r="P89" s="108">
        <f t="shared" ref="P89" si="123">AVERAGE(M89:O89)</f>
        <v>5.030859863302909E-2</v>
      </c>
      <c r="Q89" s="108">
        <f t="shared" ref="Q89" si="124">AVERAGE(N89:P89)</f>
        <v>4.9947824621663063E-2</v>
      </c>
    </row>
    <row r="90" spans="2:22" x14ac:dyDescent="0.2">
      <c r="M90" s="45"/>
    </row>
    <row r="91" spans="2:22" x14ac:dyDescent="0.2">
      <c r="B91" t="s">
        <v>216</v>
      </c>
      <c r="I91" s="14">
        <f>I93*I$100</f>
        <v>19311.012309369755</v>
      </c>
      <c r="J91" s="14">
        <f t="shared" ref="J91:K91" si="125">J93*J$100</f>
        <v>30378.808815436474</v>
      </c>
      <c r="K91" s="14">
        <f t="shared" si="125"/>
        <v>28161.203607360905</v>
      </c>
      <c r="L91" s="126">
        <f>L94*L$25</f>
        <v>35852.698704949667</v>
      </c>
      <c r="M91" s="126">
        <f t="shared" ref="M91:Q91" si="126">M94*M$25</f>
        <v>43517.543011057955</v>
      </c>
      <c r="N91" s="126">
        <f t="shared" si="126"/>
        <v>49770.901341347315</v>
      </c>
      <c r="O91" s="126">
        <f t="shared" si="126"/>
        <v>59008.152378989944</v>
      </c>
      <c r="P91" s="126">
        <f t="shared" si="126"/>
        <v>69807.494420239484</v>
      </c>
      <c r="Q91" s="126">
        <f t="shared" si="126"/>
        <v>82782.537092721395</v>
      </c>
      <c r="R91" s="125"/>
      <c r="S91" s="125"/>
      <c r="T91" s="125"/>
      <c r="V91" s="125"/>
    </row>
    <row r="92" spans="2:22" x14ac:dyDescent="0.2">
      <c r="B92" t="s">
        <v>251</v>
      </c>
      <c r="I92" s="125">
        <v>22047</v>
      </c>
      <c r="J92" s="125">
        <v>27755</v>
      </c>
      <c r="K92" s="125">
        <v>24843</v>
      </c>
      <c r="M92" s="45"/>
    </row>
    <row r="93" spans="2:22" x14ac:dyDescent="0.2">
      <c r="B93" s="45" t="s">
        <v>257</v>
      </c>
      <c r="I93" s="104">
        <f>I92/I$98</f>
        <v>0.31629915498615557</v>
      </c>
      <c r="J93" s="104">
        <f t="shared" ref="J93" si="127">J92/J$98</f>
        <v>0.47731650271720438</v>
      </c>
      <c r="K93" s="104">
        <f t="shared" ref="K93" si="128">K92/K$98</f>
        <v>0.53407429701608045</v>
      </c>
      <c r="M93" s="45"/>
    </row>
    <row r="94" spans="2:22" x14ac:dyDescent="0.2">
      <c r="B94" s="45" t="s">
        <v>255</v>
      </c>
      <c r="I94" s="104">
        <f>I91/I25</f>
        <v>0.31045645331934268</v>
      </c>
      <c r="J94" s="104">
        <f t="shared" ref="J94:K94" si="129">J91/J25</f>
        <v>0.37927997422388726</v>
      </c>
      <c r="K94" s="104">
        <f t="shared" si="129"/>
        <v>0.31029235879723771</v>
      </c>
      <c r="L94" s="108">
        <f>AVERAGE(I94:K94)</f>
        <v>0.33334292878015592</v>
      </c>
      <c r="M94" s="108">
        <f t="shared" ref="M94" si="130">AVERAGE(J94:L94)</f>
        <v>0.34097175393376028</v>
      </c>
      <c r="N94" s="108">
        <f t="shared" ref="N94" si="131">AVERAGE(K94:M94)</f>
        <v>0.3282023471703846</v>
      </c>
      <c r="O94" s="108">
        <f t="shared" ref="O94" si="132">AVERAGE(L94:N94)</f>
        <v>0.33417234329476692</v>
      </c>
      <c r="P94" s="108">
        <f t="shared" ref="P94" si="133">AVERAGE(M94:O94)</f>
        <v>0.33444881479963723</v>
      </c>
      <c r="Q94" s="108">
        <f t="shared" ref="Q94" si="134">AVERAGE(N94:P94)</f>
        <v>0.33227450175492956</v>
      </c>
    </row>
    <row r="95" spans="2:22" x14ac:dyDescent="0.2">
      <c r="B95" s="45"/>
      <c r="M95" s="45"/>
    </row>
    <row r="96" spans="2:22" x14ac:dyDescent="0.2">
      <c r="B96" s="40" t="s">
        <v>258</v>
      </c>
      <c r="C96" s="131"/>
      <c r="D96" s="131"/>
      <c r="E96" s="131"/>
      <c r="F96" s="131"/>
      <c r="G96" s="131"/>
      <c r="H96" s="131"/>
      <c r="I96" s="132">
        <f>I81+I86+I91</f>
        <v>61053</v>
      </c>
      <c r="J96" s="132">
        <f t="shared" ref="J96:K96" si="135">J81+J86+J91</f>
        <v>63645</v>
      </c>
      <c r="K96" s="132">
        <f t="shared" si="135"/>
        <v>52729</v>
      </c>
      <c r="L96" s="132">
        <f t="shared" ref="L96:Q96" si="136">L81+L86+L91</f>
        <v>76711.638503276175</v>
      </c>
      <c r="M96" s="132">
        <f t="shared" si="136"/>
        <v>83017.380775036989</v>
      </c>
      <c r="N96" s="132">
        <f t="shared" si="136"/>
        <v>91194.88492136194</v>
      </c>
      <c r="O96" s="132">
        <f t="shared" si="136"/>
        <v>107386.31370705253</v>
      </c>
      <c r="P96" s="132">
        <f t="shared" si="136"/>
        <v>120577.76244910699</v>
      </c>
      <c r="Q96" s="154">
        <f t="shared" si="136"/>
        <v>137639.53611246275</v>
      </c>
    </row>
    <row r="97" spans="1:17" x14ac:dyDescent="0.2">
      <c r="B97" s="141" t="s">
        <v>219</v>
      </c>
      <c r="C97" s="148"/>
      <c r="D97" s="148"/>
      <c r="E97" s="148"/>
      <c r="F97" s="148"/>
      <c r="G97" s="148"/>
      <c r="H97" s="148"/>
      <c r="I97" s="149">
        <f>I96/I$29</f>
        <v>0.12994921480901278</v>
      </c>
      <c r="J97" s="149">
        <f t="shared" ref="J97" si="137">J96/J$29</f>
        <v>0.12382705264571008</v>
      </c>
      <c r="K97" s="149">
        <f t="shared" ref="K97" si="138">K96/K$29</f>
        <v>9.1736910322990334E-2</v>
      </c>
      <c r="L97" s="149">
        <f t="shared" ref="L97" si="139">L96/L$29</f>
        <v>0.1206829563991218</v>
      </c>
      <c r="M97" s="149">
        <f t="shared" ref="M97" si="140">M96/M$29</f>
        <v>0.11762684500883007</v>
      </c>
      <c r="N97" s="149">
        <f t="shared" ref="N97" si="141">N96/N$29</f>
        <v>0.1161974357678341</v>
      </c>
      <c r="O97" s="149">
        <f t="shared" ref="O97" si="142">O96/O$29</f>
        <v>0.12391295644729801</v>
      </c>
      <c r="P97" s="149">
        <f t="shared" ref="P97" si="143">P96/P$29</f>
        <v>0.12633272332757117</v>
      </c>
      <c r="Q97" s="155">
        <f t="shared" ref="Q97" si="144">Q96/Q$29</f>
        <v>0.13035083862017693</v>
      </c>
    </row>
    <row r="98" spans="1:17" x14ac:dyDescent="0.2">
      <c r="B98" s="133" t="s">
        <v>259</v>
      </c>
      <c r="C98" s="134"/>
      <c r="D98" s="134"/>
      <c r="E98" s="134"/>
      <c r="F98" s="134"/>
      <c r="G98" s="134"/>
      <c r="H98" s="134"/>
      <c r="I98" s="135">
        <f>I82+I87+I92</f>
        <v>69703</v>
      </c>
      <c r="J98" s="135">
        <f t="shared" ref="J98:K98" si="145">J82+J87+J92</f>
        <v>58148</v>
      </c>
      <c r="K98" s="135">
        <f t="shared" si="145"/>
        <v>46516</v>
      </c>
      <c r="L98" s="135"/>
      <c r="M98" s="135"/>
      <c r="N98" s="135"/>
      <c r="O98" s="135"/>
      <c r="P98" s="135"/>
      <c r="Q98" s="156"/>
    </row>
    <row r="99" spans="1:17" x14ac:dyDescent="0.2">
      <c r="M99" s="45"/>
    </row>
    <row r="100" spans="1:17" x14ac:dyDescent="0.2">
      <c r="B100" s="40" t="s">
        <v>260</v>
      </c>
      <c r="C100" s="138">
        <f>-CFS!C27</f>
        <v>4589</v>
      </c>
      <c r="D100" s="138">
        <f>-CFS!D27</f>
        <v>6737</v>
      </c>
      <c r="E100" s="138">
        <f>-CFS!E27</f>
        <v>11955</v>
      </c>
      <c r="F100" s="138">
        <f>-CFS!F27</f>
        <v>13427</v>
      </c>
      <c r="G100" s="138">
        <f>-CFS!G27</f>
        <v>16861</v>
      </c>
      <c r="H100" s="138">
        <f>-CFS!H27</f>
        <v>40140</v>
      </c>
      <c r="I100" s="138">
        <f>-CFS!I27</f>
        <v>61053</v>
      </c>
      <c r="J100" s="138">
        <f>-CFS!J27</f>
        <v>63645</v>
      </c>
      <c r="K100" s="138">
        <f>-CFS!K27</f>
        <v>52729</v>
      </c>
      <c r="L100" s="138">
        <f>-CFS!L27</f>
        <v>59612</v>
      </c>
      <c r="M100" s="139">
        <f>M101*M$29</f>
        <v>76684.248774544845</v>
      </c>
      <c r="N100" s="139">
        <f>N101*N$29</f>
        <v>86008.940388153642</v>
      </c>
      <c r="O100" s="139">
        <f>O101*O$29</f>
        <v>91444.551893519019</v>
      </c>
      <c r="P100" s="139">
        <f>P101*P$29</f>
        <v>97215.973723983378</v>
      </c>
      <c r="Q100" s="140">
        <f>Q101*Q$29</f>
        <v>109688.25821512679</v>
      </c>
    </row>
    <row r="101" spans="1:17" x14ac:dyDescent="0.2">
      <c r="B101" s="98" t="s">
        <v>31</v>
      </c>
      <c r="C101" s="145">
        <f t="shared" ref="C101:L101" si="146">C100/C$29</f>
        <v>4.2885445675943407E-2</v>
      </c>
      <c r="D101" s="145">
        <f t="shared" si="146"/>
        <v>4.9541500290468943E-2</v>
      </c>
      <c r="E101" s="145">
        <f t="shared" si="146"/>
        <v>6.7213520290555814E-2</v>
      </c>
      <c r="F101" s="145">
        <f t="shared" si="146"/>
        <v>5.7654570671613274E-2</v>
      </c>
      <c r="G101" s="145">
        <f t="shared" si="146"/>
        <v>6.0105802753438235E-2</v>
      </c>
      <c r="H101" s="145">
        <f t="shared" si="146"/>
        <v>0.10397239835882134</v>
      </c>
      <c r="I101" s="145">
        <f t="shared" si="146"/>
        <v>0.12994921480901278</v>
      </c>
      <c r="J101" s="145">
        <f t="shared" si="146"/>
        <v>0.12382705264571008</v>
      </c>
      <c r="K101" s="145">
        <f t="shared" si="146"/>
        <v>9.1736910322990334E-2</v>
      </c>
      <c r="L101" s="145">
        <f t="shared" si="146"/>
        <v>9.3781759029396866E-2</v>
      </c>
      <c r="M101" s="150">
        <f>AVERAGE(H101:L101)</f>
        <v>0.10865346703318628</v>
      </c>
      <c r="N101" s="150">
        <f t="shared" ref="N101:Q101" si="147">AVERAGE(I101:M101)</f>
        <v>0.10958968076805926</v>
      </c>
      <c r="O101" s="150">
        <f t="shared" si="147"/>
        <v>0.10551777395986857</v>
      </c>
      <c r="P101" s="150">
        <f t="shared" si="147"/>
        <v>0.10185591822270026</v>
      </c>
      <c r="Q101" s="151">
        <f t="shared" si="147"/>
        <v>0.10387971980264224</v>
      </c>
    </row>
    <row r="102" spans="1:17" x14ac:dyDescent="0.2">
      <c r="M102" s="45"/>
    </row>
    <row r="103" spans="1:17" x14ac:dyDescent="0.2">
      <c r="A103" s="4" t="s">
        <v>1</v>
      </c>
      <c r="B103" s="8" t="s">
        <v>262</v>
      </c>
      <c r="C103" s="38">
        <v>2015</v>
      </c>
      <c r="D103" s="38">
        <f t="shared" ref="D103" si="148">C103+1</f>
        <v>2016</v>
      </c>
      <c r="E103" s="38">
        <f t="shared" ref="E103" si="149">D103+1</f>
        <v>2017</v>
      </c>
      <c r="F103" s="38">
        <f t="shared" ref="F103" si="150">E103+1</f>
        <v>2018</v>
      </c>
      <c r="G103" s="38">
        <f t="shared" ref="G103" si="151">F103+1</f>
        <v>2019</v>
      </c>
      <c r="H103" s="38">
        <f t="shared" ref="H103" si="152">G103+1</f>
        <v>2020</v>
      </c>
      <c r="I103" s="38">
        <f t="shared" ref="I103" si="153">H103+1</f>
        <v>2021</v>
      </c>
      <c r="J103" s="38">
        <f t="shared" ref="J103" si="154">I103+1</f>
        <v>2022</v>
      </c>
      <c r="K103" s="38">
        <f t="shared" ref="K103" si="155">J103+1</f>
        <v>2023</v>
      </c>
      <c r="L103" s="39">
        <f t="shared" ref="L103" si="156">K103+1</f>
        <v>2024</v>
      </c>
      <c r="M103" s="39">
        <f t="shared" ref="M103" si="157">L103+1</f>
        <v>2025</v>
      </c>
      <c r="N103" s="39">
        <f t="shared" ref="N103" si="158">M103+1</f>
        <v>2026</v>
      </c>
      <c r="O103" s="39">
        <f t="shared" ref="O103" si="159">N103+1</f>
        <v>2027</v>
      </c>
      <c r="P103" s="39">
        <f t="shared" ref="P103" si="160">O103+1</f>
        <v>2028</v>
      </c>
      <c r="Q103" s="39">
        <f t="shared" ref="Q103" si="161">P103+1</f>
        <v>2029</v>
      </c>
    </row>
    <row r="104" spans="1:17" ht="5" customHeight="1" x14ac:dyDescent="0.2"/>
    <row r="105" spans="1:17" x14ac:dyDescent="0.2">
      <c r="B105" t="s">
        <v>105</v>
      </c>
      <c r="I105" s="14">
        <f>I107*I$120</f>
        <v>-11680.604490636879</v>
      </c>
      <c r="J105" s="14">
        <f t="shared" ref="J105:K105" si="162">J107*J$120</f>
        <v>-12835.968660442077</v>
      </c>
      <c r="K105" s="14">
        <f t="shared" si="162"/>
        <v>-7084.3671077011404</v>
      </c>
      <c r="L105" s="14">
        <f>L106*L17</f>
        <v>-13204.734530250542</v>
      </c>
      <c r="M105" s="14">
        <f t="shared" ref="M105:Q105" si="163">M106*M17</f>
        <v>-13390.727478095927</v>
      </c>
      <c r="N105" s="14">
        <f t="shared" si="163"/>
        <v>-13206.196782237752</v>
      </c>
      <c r="O105" s="14">
        <f t="shared" si="163"/>
        <v>-15650.634868677338</v>
      </c>
      <c r="P105" s="14">
        <f t="shared" si="163"/>
        <v>-16699.40671425586</v>
      </c>
      <c r="Q105" s="14">
        <f t="shared" si="163"/>
        <v>-17853.298220315861</v>
      </c>
    </row>
    <row r="106" spans="1:17" x14ac:dyDescent="0.2">
      <c r="B106" s="45" t="s">
        <v>253</v>
      </c>
      <c r="I106" s="128">
        <f>I105/I17</f>
        <v>-4.1741340337404377E-2</v>
      </c>
      <c r="J106" s="128">
        <f t="shared" ref="J106:K106" si="164">J105/J17</f>
        <v>-4.0635585223635799E-2</v>
      </c>
      <c r="K106" s="128">
        <f t="shared" si="164"/>
        <v>-2.0078812077559436E-2</v>
      </c>
      <c r="L106" s="108">
        <f>AVERAGE(I106:K106)</f>
        <v>-3.415191254619987E-2</v>
      </c>
      <c r="M106" s="108">
        <f t="shared" ref="M106" si="165">AVERAGE(J106:L106)</f>
        <v>-3.1622103282465036E-2</v>
      </c>
      <c r="N106" s="108">
        <f t="shared" ref="N106" si="166">AVERAGE(K106:M106)</f>
        <v>-2.8617609302074781E-2</v>
      </c>
      <c r="O106" s="108">
        <f t="shared" ref="O106" si="167">AVERAGE(L106:N106)</f>
        <v>-3.1463875043579899E-2</v>
      </c>
      <c r="P106" s="108">
        <f t="shared" ref="P106" si="168">AVERAGE(M106:O106)</f>
        <v>-3.0567862542706575E-2</v>
      </c>
      <c r="Q106" s="108">
        <f t="shared" ref="Q106" si="169">AVERAGE(N106:P106)</f>
        <v>-3.0216448962787083E-2</v>
      </c>
    </row>
    <row r="107" spans="1:17" x14ac:dyDescent="0.2">
      <c r="B107" s="45" t="s">
        <v>261</v>
      </c>
      <c r="I107" s="127">
        <f>I19</f>
        <v>0.59561493501794294</v>
      </c>
      <c r="J107" s="127">
        <f t="shared" ref="J107:K107" si="170">J19</f>
        <v>0.61457285552245888</v>
      </c>
      <c r="K107" s="127">
        <f t="shared" si="170"/>
        <v>0.61384343711126765</v>
      </c>
      <c r="M107" s="45"/>
    </row>
    <row r="108" spans="1:17" x14ac:dyDescent="0.2">
      <c r="M108" s="45"/>
    </row>
    <row r="109" spans="1:17" x14ac:dyDescent="0.2">
      <c r="B109" t="s">
        <v>104</v>
      </c>
      <c r="I109" s="14">
        <f>I111*I$120</f>
        <v>-5334.0006576958931</v>
      </c>
      <c r="J109" s="14">
        <f t="shared" ref="J109:K109" si="171">J111*J$120</f>
        <v>-4795.2835054855905</v>
      </c>
      <c r="K109" s="14">
        <f t="shared" si="171"/>
        <v>-2634.3401445757977</v>
      </c>
      <c r="L109" s="14">
        <f>L110*L21</f>
        <v>-4830.5831181846943</v>
      </c>
      <c r="M109" s="14">
        <f t="shared" ref="M109:Q109" si="172">M110*M21</f>
        <v>-4891.3069357316917</v>
      </c>
      <c r="N109" s="14">
        <f t="shared" si="172"/>
        <v>-4913.9010756499583</v>
      </c>
      <c r="O109" s="14">
        <f t="shared" si="172"/>
        <v>-6060.9177135198397</v>
      </c>
      <c r="P109" s="14">
        <f t="shared" si="172"/>
        <v>-6095.7208768163746</v>
      </c>
      <c r="Q109" s="14">
        <f t="shared" si="172"/>
        <v>-6524.637824534615</v>
      </c>
    </row>
    <row r="110" spans="1:17" x14ac:dyDescent="0.2">
      <c r="B110" s="45" t="s">
        <v>254</v>
      </c>
      <c r="I110" s="128">
        <f>I109/I21</f>
        <v>-4.1741340337404377E-2</v>
      </c>
      <c r="J110" s="128">
        <f t="shared" ref="J110:K110" si="173">J109/J21</f>
        <v>-4.0635585223635806E-2</v>
      </c>
      <c r="K110" s="128">
        <f t="shared" si="173"/>
        <v>-2.0078812077559433E-2</v>
      </c>
      <c r="L110" s="108">
        <f>AVERAGE(I110:K110)</f>
        <v>-3.415191254619987E-2</v>
      </c>
      <c r="M110" s="108">
        <f t="shared" ref="M110" si="174">AVERAGE(J110:L110)</f>
        <v>-3.1622103282465036E-2</v>
      </c>
      <c r="N110" s="108">
        <f t="shared" ref="N110" si="175">AVERAGE(K110:M110)</f>
        <v>-2.8617609302074781E-2</v>
      </c>
      <c r="O110" s="108">
        <f t="shared" ref="O110" si="176">AVERAGE(L110:N110)</f>
        <v>-3.1463875043579899E-2</v>
      </c>
      <c r="P110" s="108">
        <f t="shared" ref="P110" si="177">AVERAGE(M110:O110)</f>
        <v>-3.0567862542706575E-2</v>
      </c>
      <c r="Q110" s="108">
        <f t="shared" ref="Q110" si="178">AVERAGE(N110:P110)</f>
        <v>-3.0216448962787083E-2</v>
      </c>
    </row>
    <row r="111" spans="1:17" x14ac:dyDescent="0.2">
      <c r="B111" s="45" t="s">
        <v>263</v>
      </c>
      <c r="I111" s="127">
        <f>I23</f>
        <v>0.27199024311334929</v>
      </c>
      <c r="J111" s="127">
        <f t="shared" ref="J111:K111" si="179">J23</f>
        <v>0.22959319666214642</v>
      </c>
      <c r="K111" s="127">
        <f t="shared" si="179"/>
        <v>0.22825926215889419</v>
      </c>
      <c r="M111" s="45"/>
    </row>
    <row r="112" spans="1:17" x14ac:dyDescent="0.2">
      <c r="M112" s="45"/>
    </row>
    <row r="113" spans="1:17" x14ac:dyDescent="0.2">
      <c r="B113" t="s">
        <v>216</v>
      </c>
      <c r="I113" s="14">
        <f>I115*I$120</f>
        <v>-2596.3948516672272</v>
      </c>
      <c r="J113" s="14">
        <f t="shared" ref="J113:K113" si="180">J115*J$120</f>
        <v>-3254.7478340723333</v>
      </c>
      <c r="K113" s="14">
        <f t="shared" si="180"/>
        <v>-1822.2927477230619</v>
      </c>
      <c r="L113" s="14">
        <f>L114*L25</f>
        <v>-3673.2089539065269</v>
      </c>
      <c r="M113" s="14">
        <f t="shared" ref="M113:Q113" si="181">M114*M25</f>
        <v>-4035.8657977344478</v>
      </c>
      <c r="N113" s="14">
        <f t="shared" si="181"/>
        <v>-4339.7745978317344</v>
      </c>
      <c r="O113" s="14">
        <f t="shared" si="181"/>
        <v>-5555.8910551953386</v>
      </c>
      <c r="P113" s="14">
        <f t="shared" si="181"/>
        <v>-6380.2465413638874</v>
      </c>
      <c r="Q113" s="14">
        <f t="shared" si="181"/>
        <v>-7528.0958781398112</v>
      </c>
    </row>
    <row r="114" spans="1:17" x14ac:dyDescent="0.2">
      <c r="B114" s="45" t="s">
        <v>255</v>
      </c>
      <c r="I114" s="128">
        <f>I113/I25</f>
        <v>-4.1741340337404377E-2</v>
      </c>
      <c r="J114" s="128">
        <f t="shared" ref="J114:K114" si="182">J113/J25</f>
        <v>-4.0635585223635806E-2</v>
      </c>
      <c r="K114" s="128">
        <f t="shared" si="182"/>
        <v>-2.0078812077559439E-2</v>
      </c>
      <c r="L114" s="108">
        <f>AVERAGE(I114:K114)</f>
        <v>-3.415191254619987E-2</v>
      </c>
      <c r="M114" s="108">
        <f t="shared" ref="M114" si="183">AVERAGE(J114:L114)</f>
        <v>-3.1622103282465036E-2</v>
      </c>
      <c r="N114" s="108">
        <f t="shared" ref="N114" si="184">AVERAGE(K114:M114)</f>
        <v>-2.8617609302074781E-2</v>
      </c>
      <c r="O114" s="108">
        <f t="shared" ref="O114" si="185">AVERAGE(L114:N114)</f>
        <v>-3.1463875043579899E-2</v>
      </c>
      <c r="P114" s="108">
        <f t="shared" ref="P114" si="186">AVERAGE(M114:O114)</f>
        <v>-3.0567862542706575E-2</v>
      </c>
      <c r="Q114" s="108">
        <f t="shared" ref="Q114" si="187">AVERAGE(N114:P114)</f>
        <v>-3.0216448962787083E-2</v>
      </c>
    </row>
    <row r="115" spans="1:17" x14ac:dyDescent="0.2">
      <c r="B115" s="45" t="s">
        <v>264</v>
      </c>
      <c r="I115" s="127">
        <f>I27</f>
        <v>0.13239482186870771</v>
      </c>
      <c r="J115" s="127">
        <f t="shared" ref="J115:K115" si="188">J27</f>
        <v>0.15583394781539467</v>
      </c>
      <c r="K115" s="127">
        <f t="shared" si="188"/>
        <v>0.15789730072983812</v>
      </c>
      <c r="M115" s="45"/>
    </row>
    <row r="116" spans="1:17" x14ac:dyDescent="0.2">
      <c r="M116" s="45"/>
    </row>
    <row r="117" spans="1:17" x14ac:dyDescent="0.2">
      <c r="B117" s="40" t="s">
        <v>265</v>
      </c>
      <c r="C117" s="131"/>
      <c r="D117" s="131"/>
      <c r="E117" s="131"/>
      <c r="F117" s="131"/>
      <c r="G117" s="131"/>
      <c r="H117" s="131"/>
      <c r="I117" s="132">
        <f>I105+I109+I113</f>
        <v>-19611</v>
      </c>
      <c r="J117" s="132">
        <f t="shared" ref="J117:K117" si="189">J105+J109+J113</f>
        <v>-20886</v>
      </c>
      <c r="K117" s="132">
        <f t="shared" si="189"/>
        <v>-11541</v>
      </c>
      <c r="L117" s="132">
        <f t="shared" ref="L117:Q117" si="190">L105+L109+L113</f>
        <v>-21708.526602341764</v>
      </c>
      <c r="M117" s="132">
        <f t="shared" si="190"/>
        <v>-22317.900211562068</v>
      </c>
      <c r="N117" s="132">
        <f t="shared" si="190"/>
        <v>-22459.872455719444</v>
      </c>
      <c r="O117" s="132">
        <f t="shared" si="190"/>
        <v>-27267.443637392516</v>
      </c>
      <c r="P117" s="132">
        <f t="shared" si="190"/>
        <v>-29175.374132436118</v>
      </c>
      <c r="Q117" s="154">
        <f t="shared" si="190"/>
        <v>-31906.031922990285</v>
      </c>
    </row>
    <row r="118" spans="1:17" x14ac:dyDescent="0.2">
      <c r="B118" s="98" t="s">
        <v>219</v>
      </c>
      <c r="C118" s="134"/>
      <c r="D118" s="134"/>
      <c r="E118" s="134"/>
      <c r="F118" s="134"/>
      <c r="G118" s="134"/>
      <c r="H118" s="134"/>
      <c r="I118" s="152">
        <f>I117/I$29</f>
        <v>-4.1741340337404377E-2</v>
      </c>
      <c r="J118" s="152">
        <f t="shared" ref="J118" si="191">J117/J$29</f>
        <v>-4.0635585223635799E-2</v>
      </c>
      <c r="K118" s="152">
        <f t="shared" ref="K118" si="192">K117/K$29</f>
        <v>-2.0078812077559436E-2</v>
      </c>
      <c r="L118" s="152">
        <f t="shared" ref="L118" si="193">L117/L$29</f>
        <v>-3.415191254619987E-2</v>
      </c>
      <c r="M118" s="152">
        <f t="shared" ref="M118" si="194">M117/M$29</f>
        <v>-3.1622103282465036E-2</v>
      </c>
      <c r="N118" s="152">
        <f t="shared" ref="N118" si="195">N117/N$29</f>
        <v>-2.8617609302074781E-2</v>
      </c>
      <c r="O118" s="152">
        <f t="shared" ref="O118" si="196">O117/O$29</f>
        <v>-3.1463875043579899E-2</v>
      </c>
      <c r="P118" s="152">
        <f t="shared" ref="P118" si="197">P117/P$29</f>
        <v>-3.0567862542706572E-2</v>
      </c>
      <c r="Q118" s="157">
        <f t="shared" ref="Q118" si="198">Q117/Q$29</f>
        <v>-3.0216448962787083E-2</v>
      </c>
    </row>
    <row r="119" spans="1:17" x14ac:dyDescent="0.2">
      <c r="M119" s="45"/>
    </row>
    <row r="120" spans="1:17" x14ac:dyDescent="0.2">
      <c r="B120" s="40" t="s">
        <v>223</v>
      </c>
      <c r="C120" s="138">
        <f>CFS!C19</f>
        <v>2557</v>
      </c>
      <c r="D120" s="138">
        <f>CFS!D19</f>
        <v>3916</v>
      </c>
      <c r="E120" s="138">
        <f>CFS!E19</f>
        <v>-173</v>
      </c>
      <c r="F120" s="138">
        <f>CFS!F19</f>
        <v>-1043</v>
      </c>
      <c r="G120" s="138">
        <f>CFS!G19</f>
        <v>-2438</v>
      </c>
      <c r="H120" s="138">
        <f>CFS!H19</f>
        <v>13481</v>
      </c>
      <c r="I120" s="138">
        <f>CFS!I19</f>
        <v>-19611</v>
      </c>
      <c r="J120" s="138">
        <f>CFS!J19</f>
        <v>-20886</v>
      </c>
      <c r="K120" s="138">
        <f>CFS!K19</f>
        <v>-11541</v>
      </c>
      <c r="L120" s="138">
        <f>CFS!L19</f>
        <v>-6898</v>
      </c>
      <c r="M120" s="139">
        <f>M121*M$29</f>
        <v>-11064.850044354958</v>
      </c>
      <c r="N120" s="139">
        <f>N121*N$29</f>
        <v>-20246.246731633495</v>
      </c>
      <c r="O120" s="139">
        <f>O121*O$29</f>
        <v>-19592.903168684414</v>
      </c>
      <c r="P120" s="139">
        <f>P121*P$29</f>
        <v>-18137.108104416817</v>
      </c>
      <c r="Q120" s="140">
        <f>Q121*Q$29</f>
        <v>-19838.073985955692</v>
      </c>
    </row>
    <row r="121" spans="1:17" x14ac:dyDescent="0.2">
      <c r="B121" s="141" t="s">
        <v>31</v>
      </c>
      <c r="C121" s="142">
        <f t="shared" ref="C121:L121" si="199">C120/C$29</f>
        <v>2.3895856307122966E-2</v>
      </c>
      <c r="D121" s="142">
        <f t="shared" si="199"/>
        <v>2.8796870289071748E-2</v>
      </c>
      <c r="E121" s="142">
        <f t="shared" si="199"/>
        <v>-9.7264232624560065E-4</v>
      </c>
      <c r="F121" s="142">
        <f t="shared" si="199"/>
        <v>-4.4785668586052466E-3</v>
      </c>
      <c r="G121" s="142">
        <f t="shared" si="199"/>
        <v>-8.6909404609977117E-3</v>
      </c>
      <c r="H121" s="142">
        <f t="shared" si="199"/>
        <v>3.4919080774172155E-2</v>
      </c>
      <c r="I121" s="142">
        <f t="shared" si="199"/>
        <v>-4.1741340337404377E-2</v>
      </c>
      <c r="J121" s="142">
        <f t="shared" si="199"/>
        <v>-4.0635585223635799E-2</v>
      </c>
      <c r="K121" s="142">
        <f t="shared" si="199"/>
        <v>-2.0078812077559436E-2</v>
      </c>
      <c r="L121" s="142">
        <f t="shared" si="199"/>
        <v>-1.0851952187223707E-2</v>
      </c>
      <c r="M121" s="143">
        <f>AVERAGE(H121:L121)</f>
        <v>-1.5677721810330232E-2</v>
      </c>
      <c r="N121" s="143">
        <f t="shared" ref="N121:Q121" si="200">AVERAGE(I121:M121)</f>
        <v>-2.5797082327230707E-2</v>
      </c>
      <c r="O121" s="143">
        <f t="shared" si="200"/>
        <v>-2.2608230725195976E-2</v>
      </c>
      <c r="P121" s="143">
        <f t="shared" si="200"/>
        <v>-1.900275982550801E-2</v>
      </c>
      <c r="Q121" s="144">
        <f t="shared" si="200"/>
        <v>-1.8787549375097728E-2</v>
      </c>
    </row>
    <row r="122" spans="1:17" x14ac:dyDescent="0.2">
      <c r="A122" s="4" t="s">
        <v>1</v>
      </c>
      <c r="B122" s="98" t="s">
        <v>224</v>
      </c>
      <c r="C122" s="153" t="s">
        <v>37</v>
      </c>
      <c r="D122" s="145">
        <f t="shared" ref="D122:L122" si="201">D120/(D29-C29)</f>
        <v>0.1351230116283082</v>
      </c>
      <c r="E122" s="145">
        <f t="shared" si="201"/>
        <v>-4.1309486854986983E-3</v>
      </c>
      <c r="F122" s="145">
        <f t="shared" si="201"/>
        <v>-1.895639846604024E-2</v>
      </c>
      <c r="G122" s="145">
        <f t="shared" si="201"/>
        <v>-5.118085441377139E-2</v>
      </c>
      <c r="H122" s="145">
        <f t="shared" si="201"/>
        <v>0.12773114020958481</v>
      </c>
      <c r="I122" s="145">
        <f t="shared" si="201"/>
        <v>-0.23413882852981208</v>
      </c>
      <c r="J122" s="145">
        <f t="shared" si="201"/>
        <v>-0.47295124657503229</v>
      </c>
      <c r="K122" s="145">
        <f t="shared" si="201"/>
        <v>-0.18981283510410843</v>
      </c>
      <c r="L122" s="145">
        <f t="shared" si="201"/>
        <v>-0.11334023430439855</v>
      </c>
      <c r="M122" s="134"/>
      <c r="N122" s="134"/>
      <c r="O122" s="134"/>
      <c r="P122" s="134"/>
      <c r="Q122" s="1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C503-9783-4DA4-99D2-605A399BBB5F}">
  <sheetPr>
    <tabColor theme="3"/>
  </sheetPr>
  <dimension ref="A1"/>
  <sheetViews>
    <sheetView topLeftCell="A1048576" workbookViewId="0">
      <selection activeCell="B1" sqref="A1:XFD1048576"/>
    </sheetView>
  </sheetViews>
  <sheetFormatPr baseColWidth="10" defaultColWidth="8.83203125" defaultRowHeight="15" zeroHeight="1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4F73-E5BC-491D-98F7-E9B87C252FC4}">
  <dimension ref="A2:S57"/>
  <sheetViews>
    <sheetView showGridLines="0" zoomScale="150" zoomScaleNormal="150" workbookViewId="0"/>
  </sheetViews>
  <sheetFormatPr baseColWidth="10" defaultColWidth="8.83203125" defaultRowHeight="15" x14ac:dyDescent="0.2"/>
  <cols>
    <col min="1" max="1" width="3.5" customWidth="1"/>
    <col min="2" max="2" width="18.1640625" bestFit="1" customWidth="1"/>
    <col min="3" max="11" width="15.5" customWidth="1"/>
    <col min="15" max="15" width="11.6640625" bestFit="1" customWidth="1"/>
  </cols>
  <sheetData>
    <row r="2" spans="1:12" s="3" customFormat="1" ht="21" x14ac:dyDescent="0.25">
      <c r="B2" s="2" t="s">
        <v>269</v>
      </c>
    </row>
    <row r="4" spans="1:12" x14ac:dyDescent="0.2">
      <c r="B4" s="5" t="s">
        <v>12</v>
      </c>
      <c r="C4" s="93"/>
      <c r="D4" s="93"/>
    </row>
    <row r="5" spans="1:12" x14ac:dyDescent="0.2">
      <c r="B5" t="s">
        <v>202</v>
      </c>
      <c r="D5" s="114">
        <f>'Operating Model'!L10</f>
        <v>8.3315110625500829E-2</v>
      </c>
    </row>
    <row r="6" spans="1:12" x14ac:dyDescent="0.2">
      <c r="B6" t="s">
        <v>231</v>
      </c>
      <c r="D6" s="114">
        <f>'Operating Model'!L11</f>
        <v>2.5000000000000001E-2</v>
      </c>
    </row>
    <row r="8" spans="1:12" x14ac:dyDescent="0.2">
      <c r="A8" s="4" t="s">
        <v>1</v>
      </c>
      <c r="B8" s="5" t="s">
        <v>269</v>
      </c>
      <c r="C8" s="93"/>
      <c r="D8" s="93"/>
      <c r="E8" s="93"/>
      <c r="F8" s="93"/>
      <c r="G8" s="93"/>
      <c r="H8" s="93"/>
      <c r="I8" s="93"/>
      <c r="J8" s="93"/>
      <c r="K8" s="93"/>
    </row>
    <row r="9" spans="1:12" ht="5" customHeight="1" x14ac:dyDescent="0.2">
      <c r="A9" s="4"/>
    </row>
    <row r="10" spans="1:12" x14ac:dyDescent="0.2">
      <c r="A10" s="4" t="s">
        <v>1</v>
      </c>
      <c r="B10" s="8" t="s">
        <v>226</v>
      </c>
      <c r="C10" s="38">
        <v>2021</v>
      </c>
      <c r="D10" s="38">
        <f t="shared" ref="D10:K10" si="0">C10+1</f>
        <v>2022</v>
      </c>
      <c r="E10" s="38">
        <f t="shared" si="0"/>
        <v>2023</v>
      </c>
      <c r="F10" s="39">
        <f t="shared" si="0"/>
        <v>2024</v>
      </c>
      <c r="G10" s="39">
        <f t="shared" si="0"/>
        <v>2025</v>
      </c>
      <c r="H10" s="39">
        <f t="shared" si="0"/>
        <v>2026</v>
      </c>
      <c r="I10" s="39">
        <f t="shared" si="0"/>
        <v>2027</v>
      </c>
      <c r="J10" s="39">
        <f t="shared" si="0"/>
        <v>2028</v>
      </c>
      <c r="K10" s="39">
        <f t="shared" si="0"/>
        <v>2029</v>
      </c>
    </row>
    <row r="11" spans="1:12" ht="5" customHeight="1" x14ac:dyDescent="0.2">
      <c r="A11" s="4"/>
    </row>
    <row r="12" spans="1:12" x14ac:dyDescent="0.2">
      <c r="A12" s="4"/>
      <c r="B12" t="s">
        <v>29</v>
      </c>
      <c r="C12" s="102">
        <f>'North America'!C12+International!C12+AWS!C12</f>
        <v>469822</v>
      </c>
      <c r="D12" s="102">
        <f>'North America'!D12+International!D12+AWS!D12</f>
        <v>513983</v>
      </c>
      <c r="E12" s="102">
        <f>'North America'!E12+International!E12+AWS!E12</f>
        <v>574785</v>
      </c>
      <c r="F12" s="102">
        <f>'North America'!F12+International!F12+AWS!F12</f>
        <v>635646</v>
      </c>
      <c r="G12" s="102">
        <f>'North America'!G12+International!G12+AWS!G12</f>
        <v>705769</v>
      </c>
      <c r="H12" s="102">
        <f>'North America'!H12+International!H12+AWS!H12</f>
        <v>784827</v>
      </c>
      <c r="I12" s="102">
        <f>'North America'!I12+International!I12+AWS!I12</f>
        <v>866627</v>
      </c>
      <c r="J12" s="102">
        <f>'North America'!J12+International!J12+AWS!J12</f>
        <v>954446</v>
      </c>
      <c r="K12" s="102">
        <f>'North America'!K12+International!K12+AWS!K12</f>
        <v>1055916</v>
      </c>
      <c r="L12" s="37"/>
    </row>
    <row r="13" spans="1:12" x14ac:dyDescent="0.2">
      <c r="A13" s="4"/>
      <c r="B13" s="45" t="s">
        <v>30</v>
      </c>
      <c r="C13" s="167"/>
      <c r="D13" s="104">
        <f>D12/C12-1</f>
        <v>9.399517263985091E-2</v>
      </c>
      <c r="E13" s="104">
        <f t="shared" ref="E13:K13" si="1">E12/D12-1</f>
        <v>0.1182957412988368</v>
      </c>
      <c r="F13" s="104">
        <f t="shared" si="1"/>
        <v>0.10588480910253395</v>
      </c>
      <c r="G13" s="104">
        <f t="shared" si="1"/>
        <v>0.11031769255214385</v>
      </c>
      <c r="H13" s="104">
        <f t="shared" si="1"/>
        <v>0.11201682136789803</v>
      </c>
      <c r="I13" s="104">
        <f t="shared" si="1"/>
        <v>0.10422679138204982</v>
      </c>
      <c r="J13" s="104">
        <f t="shared" si="1"/>
        <v>0.10133425337544288</v>
      </c>
      <c r="K13" s="104">
        <f t="shared" si="1"/>
        <v>0.10631298156207891</v>
      </c>
      <c r="L13" s="109"/>
    </row>
    <row r="14" spans="1:12" x14ac:dyDescent="0.2">
      <c r="A14" s="4"/>
    </row>
    <row r="15" spans="1:12" x14ac:dyDescent="0.2">
      <c r="A15" s="4"/>
      <c r="B15" t="s">
        <v>32</v>
      </c>
      <c r="C15" s="102">
        <f>'North America'!C15+International!C15+AWS!C15</f>
        <v>24879</v>
      </c>
      <c r="D15" s="102">
        <f>'North America'!D15+International!D15+AWS!D15</f>
        <v>12248</v>
      </c>
      <c r="E15" s="102">
        <f>'North America'!E15+International!E15+AWS!E15</f>
        <v>36852</v>
      </c>
      <c r="F15" s="102">
        <f>'North America'!F15+International!F15+AWS!F15</f>
        <v>62270.17</v>
      </c>
      <c r="G15" s="102">
        <f>'North America'!G15+International!G15+AWS!G15</f>
        <v>77775.41</v>
      </c>
      <c r="H15" s="102">
        <f>'North America'!H15+International!H15+AWS!H15</f>
        <v>97823.1</v>
      </c>
      <c r="I15" s="102">
        <f>'North America'!I15+International!I15+AWS!I15</f>
        <v>118182.7060444323</v>
      </c>
      <c r="J15" s="102">
        <f>'North America'!J15+International!J15+AWS!J15</f>
        <v>136838.2435031237</v>
      </c>
      <c r="K15" s="102">
        <f>'North America'!K15+International!K15+AWS!K15</f>
        <v>158304.14054407948</v>
      </c>
    </row>
    <row r="16" spans="1:12" x14ac:dyDescent="0.2">
      <c r="A16" s="4"/>
      <c r="B16" s="45" t="s">
        <v>31</v>
      </c>
      <c r="C16" s="104">
        <f>C15/C12</f>
        <v>5.2954097509269465E-2</v>
      </c>
      <c r="D16" s="104">
        <f t="shared" ref="D16:K16" si="2">D15/D12</f>
        <v>2.3829581912242232E-2</v>
      </c>
      <c r="E16" s="104">
        <f t="shared" si="2"/>
        <v>6.4114407996033296E-2</v>
      </c>
      <c r="F16" s="104">
        <f t="shared" si="2"/>
        <v>9.7963599236052773E-2</v>
      </c>
      <c r="G16" s="104">
        <f t="shared" si="2"/>
        <v>0.1101995270407173</v>
      </c>
      <c r="H16" s="104">
        <f t="shared" si="2"/>
        <v>0.12464288308123957</v>
      </c>
      <c r="I16" s="104">
        <f t="shared" si="2"/>
        <v>0.1363709024118015</v>
      </c>
      <c r="J16" s="104">
        <f t="shared" si="2"/>
        <v>0.14336928805099891</v>
      </c>
      <c r="K16" s="104">
        <f t="shared" si="2"/>
        <v>0.14992114954606189</v>
      </c>
    </row>
    <row r="17" spans="1:11" x14ac:dyDescent="0.2">
      <c r="A17" s="4"/>
    </row>
    <row r="18" spans="1:11" x14ac:dyDescent="0.2">
      <c r="A18" s="4"/>
      <c r="B18" t="s">
        <v>34</v>
      </c>
      <c r="F18" s="102">
        <f>'North America'!F18+International!F18+AWS!F18</f>
        <v>11051.479073988503</v>
      </c>
      <c r="G18" s="102">
        <f>'North America'!G18+International!G18+AWS!G18</f>
        <v>11881.130461124952</v>
      </c>
      <c r="H18" s="102">
        <f>'North America'!H18+International!H18+AWS!H18</f>
        <v>15783.678365999718</v>
      </c>
      <c r="I18" s="102">
        <f>'North America'!I18+International!I18+AWS!I18</f>
        <v>20125.51143794728</v>
      </c>
      <c r="J18" s="102">
        <f>'North America'!J18+International!J18+AWS!J18</f>
        <v>23302.39107687509</v>
      </c>
      <c r="K18" s="102">
        <f>'North America'!K18+International!K18+AWS!K18</f>
        <v>26347.208776512853</v>
      </c>
    </row>
    <row r="19" spans="1:11" x14ac:dyDescent="0.2">
      <c r="A19" s="4"/>
      <c r="B19" s="45" t="s">
        <v>35</v>
      </c>
      <c r="F19" s="158">
        <f>'Operating Model'!L52</f>
        <v>0.17747629521468311</v>
      </c>
      <c r="G19" s="158">
        <f>'Operating Model'!M52</f>
        <v>0.15276204215606132</v>
      </c>
      <c r="H19" s="158">
        <f>'Operating Model'!N52</f>
        <v>0.16134919427006217</v>
      </c>
      <c r="I19" s="158">
        <f>'Operating Model'!O52</f>
        <v>0.1702915097440808</v>
      </c>
      <c r="J19" s="158">
        <f>'Operating Model'!P52</f>
        <v>0.1702915097440808</v>
      </c>
      <c r="K19" s="158">
        <f>'Operating Model'!Q52</f>
        <v>0.16643411022579363</v>
      </c>
    </row>
    <row r="20" spans="1:11" x14ac:dyDescent="0.2">
      <c r="A20" s="4"/>
    </row>
    <row r="21" spans="1:11" x14ac:dyDescent="0.2">
      <c r="A21" s="4"/>
      <c r="B21" s="42" t="s">
        <v>225</v>
      </c>
      <c r="C21" s="43"/>
      <c r="D21" s="43"/>
      <c r="E21" s="43"/>
      <c r="F21" s="161">
        <f>'North America'!F21+International!F21+AWS!F21</f>
        <v>51218.690926011492</v>
      </c>
      <c r="G21" s="161">
        <f>'North America'!G21+International!G21+AWS!G21</f>
        <v>65894.279538875038</v>
      </c>
      <c r="H21" s="161">
        <f>'North America'!H21+International!H21+AWS!H21</f>
        <v>82039.421634000289</v>
      </c>
      <c r="I21" s="161">
        <f>'North America'!I21+International!I21+AWS!I21</f>
        <v>98057.19460648502</v>
      </c>
      <c r="J21" s="161">
        <f>'North America'!J21+International!J21+AWS!J21</f>
        <v>113535.8524262486</v>
      </c>
      <c r="K21" s="162">
        <f>'North America'!K21+International!K21+AWS!K21</f>
        <v>131956.93176756665</v>
      </c>
    </row>
    <row r="22" spans="1:11" x14ac:dyDescent="0.2">
      <c r="A22" s="4"/>
      <c r="F22" s="14"/>
      <c r="G22" s="14"/>
      <c r="H22" s="14"/>
      <c r="I22" s="14"/>
      <c r="J22" s="14"/>
      <c r="K22" s="14"/>
    </row>
    <row r="23" spans="1:11" x14ac:dyDescent="0.2">
      <c r="A23" s="4"/>
      <c r="B23" t="s">
        <v>38</v>
      </c>
      <c r="C23" s="102"/>
      <c r="D23" s="102"/>
      <c r="E23" s="102"/>
      <c r="F23" s="102">
        <f>'North America'!F23+International!F23+AWS!F23</f>
        <v>53278.040876285668</v>
      </c>
      <c r="G23" s="102">
        <f>'North America'!G23+International!G23+AWS!G23</f>
        <v>61079.379941317369</v>
      </c>
      <c r="H23" s="102">
        <f>'North America'!H23+International!H23+AWS!H23</f>
        <v>69829.088170148258</v>
      </c>
      <c r="I23" s="102">
        <f>'North America'!I23+International!I23+AWS!I23</f>
        <v>78145.767305741043</v>
      </c>
      <c r="J23" s="102">
        <f>'North America'!J23+International!J23+AWS!J23</f>
        <v>88681.083092087734</v>
      </c>
      <c r="K23" s="102">
        <f>'North America'!K23+International!K23+AWS!K23</f>
        <v>101224.34935337916</v>
      </c>
    </row>
    <row r="24" spans="1:11" x14ac:dyDescent="0.2">
      <c r="A24" s="4"/>
      <c r="B24" s="45" t="s">
        <v>31</v>
      </c>
      <c r="C24" s="158"/>
      <c r="D24" s="158"/>
      <c r="E24" s="158"/>
      <c r="F24" s="104">
        <f>F23/F$12</f>
        <v>8.3817157468599926E-2</v>
      </c>
      <c r="G24" s="104">
        <f t="shared" ref="G24:K24" si="3">G23/G$12</f>
        <v>8.6543018949992653E-2</v>
      </c>
      <c r="H24" s="104">
        <f t="shared" si="3"/>
        <v>8.8973860698151636E-2</v>
      </c>
      <c r="I24" s="104">
        <f t="shared" si="3"/>
        <v>9.0172320162816344E-2</v>
      </c>
      <c r="J24" s="104">
        <f t="shared" si="3"/>
        <v>9.2913672530544139E-2</v>
      </c>
      <c r="K24" s="104">
        <f t="shared" si="3"/>
        <v>9.5864016979929426E-2</v>
      </c>
    </row>
    <row r="25" spans="1:11" x14ac:dyDescent="0.2">
      <c r="A25" s="4"/>
    </row>
    <row r="26" spans="1:11" x14ac:dyDescent="0.2">
      <c r="A26" s="4"/>
      <c r="B26" t="s">
        <v>40</v>
      </c>
      <c r="C26" s="102"/>
      <c r="D26" s="102"/>
      <c r="E26" s="102"/>
      <c r="F26" s="102">
        <f>'North America'!F26+International!F26+AWS!F26</f>
        <v>76711.638503276175</v>
      </c>
      <c r="G26" s="102">
        <f>'North America'!G26+International!G26+AWS!G26</f>
        <v>83017.380775036989</v>
      </c>
      <c r="H26" s="102">
        <f>'North America'!H26+International!H26+AWS!H26</f>
        <v>91194.88492136194</v>
      </c>
      <c r="I26" s="102">
        <f>'North America'!I26+International!I26+AWS!I26</f>
        <v>107386.31370705253</v>
      </c>
      <c r="J26" s="102">
        <f>'North America'!J26+International!J26+AWS!J26</f>
        <v>120577.76244910699</v>
      </c>
      <c r="K26" s="102">
        <f>'North America'!K26+International!K26+AWS!K26</f>
        <v>137639.53611246275</v>
      </c>
    </row>
    <row r="27" spans="1:11" x14ac:dyDescent="0.2">
      <c r="A27" s="4"/>
      <c r="B27" s="45" t="s">
        <v>31</v>
      </c>
      <c r="C27" s="158"/>
      <c r="D27" s="158"/>
      <c r="E27" s="158"/>
      <c r="F27" s="104">
        <f>F26/F$12</f>
        <v>0.1206829563991218</v>
      </c>
      <c r="G27" s="104">
        <f t="shared" ref="G27" si="4">G26/G$12</f>
        <v>0.11762684500883007</v>
      </c>
      <c r="H27" s="104">
        <f t="shared" ref="H27" si="5">H26/H$12</f>
        <v>0.1161974357678341</v>
      </c>
      <c r="I27" s="104">
        <f t="shared" ref="I27" si="6">I26/I$12</f>
        <v>0.12391295644729801</v>
      </c>
      <c r="J27" s="104">
        <f t="shared" ref="J27" si="7">J26/J$12</f>
        <v>0.12633272332757117</v>
      </c>
      <c r="K27" s="104">
        <f t="shared" ref="K27" si="8">K26/K$12</f>
        <v>0.13035083862017693</v>
      </c>
    </row>
    <row r="28" spans="1:11" x14ac:dyDescent="0.2">
      <c r="A28" s="4"/>
    </row>
    <row r="29" spans="1:11" x14ac:dyDescent="0.2">
      <c r="A29" s="4"/>
      <c r="B29" t="s">
        <v>223</v>
      </c>
      <c r="C29" s="102"/>
      <c r="D29" s="102"/>
      <c r="E29" s="102"/>
      <c r="F29" s="102">
        <f>'North America'!F29+International!F29+AWS!F29</f>
        <v>-21708.526602341764</v>
      </c>
      <c r="G29" s="102">
        <f>'North America'!G29+International!G29+AWS!G29</f>
        <v>-22317.900211562068</v>
      </c>
      <c r="H29" s="102">
        <f>'North America'!H29+International!H29+AWS!H29</f>
        <v>-22459.872455719444</v>
      </c>
      <c r="I29" s="102">
        <f>'North America'!I29+International!I29+AWS!I29</f>
        <v>-27267.443637392516</v>
      </c>
      <c r="J29" s="102">
        <f>'North America'!J29+International!J29+AWS!J29</f>
        <v>-29175.374132436118</v>
      </c>
      <c r="K29" s="102">
        <f>'North America'!K29+International!K29+AWS!K29</f>
        <v>-31906.031922990285</v>
      </c>
    </row>
    <row r="30" spans="1:11" x14ac:dyDescent="0.2">
      <c r="A30" s="4"/>
      <c r="B30" s="45" t="s">
        <v>31</v>
      </c>
      <c r="C30" s="158"/>
      <c r="D30" s="158"/>
      <c r="E30" s="158"/>
      <c r="F30" s="104">
        <f>F29/F$12</f>
        <v>-3.415191254619987E-2</v>
      </c>
      <c r="G30" s="104">
        <f t="shared" ref="G30" si="9">G29/G$12</f>
        <v>-3.1622103282465036E-2</v>
      </c>
      <c r="H30" s="104">
        <f t="shared" ref="H30" si="10">H29/H$12</f>
        <v>-2.8617609302074781E-2</v>
      </c>
      <c r="I30" s="104">
        <f t="shared" ref="I30" si="11">I29/I$12</f>
        <v>-3.1463875043579899E-2</v>
      </c>
      <c r="J30" s="104">
        <f t="shared" ref="J30" si="12">J29/J$12</f>
        <v>-3.0567862542706572E-2</v>
      </c>
      <c r="K30" s="104">
        <f t="shared" ref="K30" si="13">K29/K$12</f>
        <v>-3.0216448962787083E-2</v>
      </c>
    </row>
    <row r="31" spans="1:11" x14ac:dyDescent="0.2">
      <c r="A31" s="4"/>
    </row>
    <row r="32" spans="1:11" x14ac:dyDescent="0.2">
      <c r="A32" s="4"/>
      <c r="B32" s="117" t="s">
        <v>227</v>
      </c>
      <c r="C32" s="118"/>
      <c r="D32" s="118"/>
      <c r="E32" s="118"/>
      <c r="F32" s="163">
        <f>'North America'!F32+International!F32+AWS!F32</f>
        <v>49493.619901362756</v>
      </c>
      <c r="G32" s="163">
        <f>'North America'!G32+International!G32+AWS!G32</f>
        <v>66274.178916717487</v>
      </c>
      <c r="H32" s="163">
        <f>'North America'!H32+International!H32+AWS!H32</f>
        <v>83133.497338506044</v>
      </c>
      <c r="I32" s="163">
        <f>'North America'!I32+International!I32+AWS!I32</f>
        <v>96084.091842566049</v>
      </c>
      <c r="J32" s="163">
        <f>'North America'!J32+International!J32+AWS!J32</f>
        <v>110814.54720166547</v>
      </c>
      <c r="K32" s="164">
        <f>'North America'!K32+International!K32+AWS!K32</f>
        <v>127447.77693147333</v>
      </c>
    </row>
    <row r="33" spans="1:11" x14ac:dyDescent="0.2">
      <c r="A33" s="4" t="s">
        <v>1</v>
      </c>
      <c r="B33" s="121" t="s">
        <v>232</v>
      </c>
      <c r="C33" s="122"/>
      <c r="D33" s="122"/>
      <c r="E33" s="122"/>
      <c r="F33" s="165">
        <f>'North America'!F33+International!F33+AWS!F33</f>
        <v>8194.1089657843913</v>
      </c>
      <c r="G33" s="165">
        <f>'North America'!G33+International!G33+AWS!G33</f>
        <v>62831.074754124784</v>
      </c>
      <c r="H33" s="165">
        <f>'North America'!H33+International!H33+AWS!H33</f>
        <v>72753.079842065374</v>
      </c>
      <c r="I33" s="165">
        <f>'North America'!I33+International!I33+AWS!I33</f>
        <v>77619.710835379097</v>
      </c>
      <c r="J33" s="165">
        <f>'North America'!J33+International!J33+AWS!J33</f>
        <v>82634.709767864377</v>
      </c>
      <c r="K33" s="166">
        <f>'North America'!K33+International!K33+AWS!K33</f>
        <v>87729.00291268414</v>
      </c>
    </row>
    <row r="34" spans="1:11" x14ac:dyDescent="0.2">
      <c r="A34" s="4"/>
    </row>
    <row r="35" spans="1:11" x14ac:dyDescent="0.2">
      <c r="A35" s="4"/>
      <c r="B35" t="s">
        <v>234</v>
      </c>
      <c r="F35" s="159">
        <f>YEARFRAC('Operating Model'!L5,'Operating Model'!L6)</f>
        <v>0.16666666666666666</v>
      </c>
    </row>
    <row r="36" spans="1:11" x14ac:dyDescent="0.2">
      <c r="A36" s="4"/>
      <c r="B36" t="s">
        <v>233</v>
      </c>
      <c r="F36" s="116">
        <f>F35/2</f>
        <v>8.3333333333333329E-2</v>
      </c>
      <c r="G36" s="116">
        <f>F35+0.5</f>
        <v>0.66666666666666663</v>
      </c>
      <c r="H36" s="116">
        <f>G36+1</f>
        <v>1.6666666666666665</v>
      </c>
      <c r="I36" s="116">
        <f t="shared" ref="I36:K36" si="14">H36+1</f>
        <v>2.6666666666666665</v>
      </c>
      <c r="J36" s="116">
        <f t="shared" si="14"/>
        <v>3.6666666666666665</v>
      </c>
      <c r="K36" s="116">
        <f t="shared" si="14"/>
        <v>4.6666666666666661</v>
      </c>
    </row>
    <row r="37" spans="1:11" x14ac:dyDescent="0.2">
      <c r="A37" s="4"/>
    </row>
    <row r="38" spans="1:11" x14ac:dyDescent="0.2">
      <c r="A38" s="4"/>
      <c r="B38" t="s">
        <v>235</v>
      </c>
      <c r="K38" s="36">
        <f>'North America'!K38+International!K38+AWS!K38</f>
        <v>2800429.5164572438</v>
      </c>
    </row>
    <row r="39" spans="1:11" x14ac:dyDescent="0.2">
      <c r="A39" s="4"/>
      <c r="B39" t="s">
        <v>236</v>
      </c>
      <c r="K39" s="36">
        <f>'North America'!K39+International!K39+AWS!K39</f>
        <v>1927682.8134722339</v>
      </c>
    </row>
    <row r="41" spans="1:11" x14ac:dyDescent="0.2">
      <c r="B41" s="129" t="s">
        <v>15</v>
      </c>
      <c r="K41" s="260">
        <f>'North America'!K41+International!K41+AWS!K41</f>
        <v>2319444.500550136</v>
      </c>
    </row>
    <row r="42" spans="1:11" x14ac:dyDescent="0.2">
      <c r="B42" t="s">
        <v>237</v>
      </c>
      <c r="K42" s="168">
        <f>71178+17914</f>
        <v>89092</v>
      </c>
    </row>
    <row r="43" spans="1:11" x14ac:dyDescent="0.2">
      <c r="B43" t="s">
        <v>238</v>
      </c>
      <c r="K43" s="168">
        <v>54889</v>
      </c>
    </row>
    <row r="44" spans="1:11" x14ac:dyDescent="0.2">
      <c r="B44" t="s">
        <v>239</v>
      </c>
      <c r="K44" s="14">
        <f>K41+K42-K43</f>
        <v>2353647.500550136</v>
      </c>
    </row>
    <row r="46" spans="1:11" x14ac:dyDescent="0.2">
      <c r="B46" t="s">
        <v>240</v>
      </c>
      <c r="K46" s="102">
        <f>Shares!E14</f>
        <v>10876.066881000001</v>
      </c>
    </row>
    <row r="47" spans="1:11" x14ac:dyDescent="0.2">
      <c r="A47" t="s">
        <v>1</v>
      </c>
      <c r="B47" t="s">
        <v>241</v>
      </c>
      <c r="K47" s="35">
        <f>K44/K46</f>
        <v>216.40612606583471</v>
      </c>
    </row>
    <row r="49" spans="13:19" x14ac:dyDescent="0.2">
      <c r="M49" s="5" t="s">
        <v>356</v>
      </c>
      <c r="N49" s="93"/>
      <c r="O49" s="93"/>
      <c r="P49" s="93"/>
      <c r="Q49" s="93"/>
      <c r="R49" s="93"/>
      <c r="S49" s="93"/>
    </row>
    <row r="50" spans="13:19" ht="5" customHeight="1" x14ac:dyDescent="0.2"/>
    <row r="51" spans="13:19" x14ac:dyDescent="0.2">
      <c r="M51" s="233"/>
      <c r="N51" s="234"/>
      <c r="O51" s="234" t="s">
        <v>202</v>
      </c>
      <c r="P51" s="234"/>
      <c r="Q51" s="234"/>
      <c r="R51" s="234"/>
      <c r="S51" s="235"/>
    </row>
    <row r="52" spans="13:19" x14ac:dyDescent="0.2">
      <c r="M52" s="238"/>
      <c r="N52" s="243">
        <f>K47</f>
        <v>216.40612606583471</v>
      </c>
      <c r="O52" s="236">
        <f>P52+0.25%</f>
        <v>8.8315110625500834E-2</v>
      </c>
      <c r="P52" s="236">
        <f>Q52+0.25%</f>
        <v>8.5815110625500832E-2</v>
      </c>
      <c r="Q52" s="236">
        <v>8.3315110625500829E-2</v>
      </c>
      <c r="R52" s="236">
        <f>Q52-0.25%</f>
        <v>8.0815110625500827E-2</v>
      </c>
      <c r="S52" s="237">
        <f>R52-0.25%</f>
        <v>7.8315110625500825E-2</v>
      </c>
    </row>
    <row r="53" spans="13:19" x14ac:dyDescent="0.2">
      <c r="M53" s="238"/>
      <c r="N53" s="239">
        <f>N54-0.25%</f>
        <v>2.0000000000000004E-2</v>
      </c>
      <c r="O53" s="244">
        <f>('North America'!O59+International!O59+AWS!O59+$K$42-$K$43)/$K$46</f>
        <v>195.4707445676035</v>
      </c>
      <c r="P53" s="245">
        <f>('North America'!P59+International!P59+AWS!P59+$K$42-$K$43)/$K$46</f>
        <v>201.00914319965702</v>
      </c>
      <c r="Q53" s="245">
        <f>('North America'!Q59+International!Q59+AWS!Q59+$K$42-$K$43)/$K$46</f>
        <v>206.93944725931385</v>
      </c>
      <c r="R53" s="245">
        <f>('North America'!R59+International!R59+AWS!R59+$K$42-$K$43)/$K$46</f>
        <v>213.30900698294013</v>
      </c>
      <c r="S53" s="246">
        <f>('North America'!S59+International!S59+AWS!S59+$K$42-$K$43)/$K$46</f>
        <v>220.17327065591257</v>
      </c>
    </row>
    <row r="54" spans="13:19" x14ac:dyDescent="0.2">
      <c r="M54" s="238"/>
      <c r="N54" s="239">
        <f>N55-0.25%</f>
        <v>2.2500000000000003E-2</v>
      </c>
      <c r="O54" s="247">
        <f>('North America'!O60+International!O60+AWS!O60+$K$42-$K$43)/$K$46</f>
        <v>199.29265861238932</v>
      </c>
      <c r="P54" s="116">
        <f>('North America'!P60+International!P60+AWS!P60+$K$42-$K$43)/$K$46</f>
        <v>205.16779450646069</v>
      </c>
      <c r="Q54" s="116">
        <f>('North America'!Q60+International!Q60+AWS!Q60+$K$42-$K$43)/$K$46</f>
        <v>211.4782075787505</v>
      </c>
      <c r="R54" s="116">
        <f>('North America'!R60+International!R60+AWS!R60+$K$42-$K$43)/$K$46</f>
        <v>218.27884945979625</v>
      </c>
      <c r="S54" s="248">
        <f>('North America'!S60+International!S60+AWS!S60+$K$42-$K$43)/$K$46</f>
        <v>225.63449431329394</v>
      </c>
    </row>
    <row r="55" spans="13:19" x14ac:dyDescent="0.2">
      <c r="M55" s="240" t="s">
        <v>231</v>
      </c>
      <c r="N55" s="239">
        <v>2.5000000000000001E-2</v>
      </c>
      <c r="O55" s="247">
        <f>('North America'!O61+International!O61+AWS!O61+$K$42-$K$43)/$K$46</f>
        <v>203.41638955420237</v>
      </c>
      <c r="P55" s="116">
        <f>('North America'!P61+International!P61+AWS!P61+$K$42-$K$43)/$K$46</f>
        <v>209.66835518940715</v>
      </c>
      <c r="Q55" s="116">
        <f>('North America'!Q61+International!Q61+AWS!Q61+$K$42-$K$43)/$K$46</f>
        <v>216.40612606583471</v>
      </c>
      <c r="R55" s="116">
        <f>('North America'!R61+International!R61+AWS!R61+$K$42-$K$43)/$K$46</f>
        <v>223.69389776184559</v>
      </c>
      <c r="S55" s="248">
        <f>('North America'!S61+International!S61+AWS!S61+$K$42-$K$43)/$K$46</f>
        <v>231.60788268282818</v>
      </c>
    </row>
    <row r="56" spans="13:19" x14ac:dyDescent="0.2">
      <c r="M56" s="238"/>
      <c r="N56" s="239">
        <f>N55+0.25%</f>
        <v>2.75E-2</v>
      </c>
      <c r="O56" s="247">
        <f>('North America'!O62+International!O62+AWS!O62+$K$42-$K$43)/$K$46</f>
        <v>207.8791588451526</v>
      </c>
      <c r="P56" s="116">
        <f>('North America'!P62+International!P62+AWS!P62+$K$42-$K$43)/$K$46</f>
        <v>214.55479876228324</v>
      </c>
      <c r="Q56" s="116">
        <f>('North America'!Q62+International!Q62+AWS!Q62+$K$42-$K$43)/$K$46</f>
        <v>221.77549476522339</v>
      </c>
      <c r="R56" s="116">
        <f>('North America'!R62+International!R62+AWS!R62+$K$42-$K$43)/$K$46</f>
        <v>229.6167803568861</v>
      </c>
      <c r="S56" s="248">
        <f>('North America'!S62+International!S62+AWS!S62+$K$42-$K$43)/$K$46</f>
        <v>238.16902814823467</v>
      </c>
    </row>
    <row r="57" spans="13:19" x14ac:dyDescent="0.2">
      <c r="M57" s="241"/>
      <c r="N57" s="242">
        <f>N56+0.25%</f>
        <v>0.03</v>
      </c>
      <c r="O57" s="249">
        <f>('North America'!O63+International!O63+AWS!O63+$K$42-$K$43)/$K$46</f>
        <v>212.72457075163439</v>
      </c>
      <c r="P57" s="250">
        <f>('North America'!P63+International!P63+AWS!P63+$K$42-$K$43)/$K$46</f>
        <v>219.87897716342678</v>
      </c>
      <c r="Q57" s="250">
        <f>('North America'!Q63+International!Q63+AWS!Q63+$K$42-$K$43)/$K$46</f>
        <v>227.64841383113983</v>
      </c>
      <c r="R57" s="250">
        <f>('North America'!R63+International!R63+AWS!R63+$K$42-$K$43)/$K$46</f>
        <v>236.12245048521476</v>
      </c>
      <c r="S57" s="251">
        <f>('North America'!S63+International!S63+AWS!S63+$K$42-$K$43)/$K$46</f>
        <v>245.40916879552768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2CBD-3A70-41FE-B9C8-5586B2409508}">
  <dimension ref="A2:S63"/>
  <sheetViews>
    <sheetView showGridLines="0" zoomScale="150" zoomScaleNormal="150" workbookViewId="0"/>
  </sheetViews>
  <sheetFormatPr baseColWidth="10" defaultColWidth="8.83203125" defaultRowHeight="15" x14ac:dyDescent="0.2"/>
  <cols>
    <col min="1" max="1" width="3.5" style="4" customWidth="1"/>
    <col min="2" max="2" width="18.1640625" bestFit="1" customWidth="1"/>
    <col min="3" max="11" width="15.5" customWidth="1"/>
    <col min="14" max="14" width="11" bestFit="1" customWidth="1"/>
    <col min="15" max="19" width="9.83203125" bestFit="1" customWidth="1"/>
  </cols>
  <sheetData>
    <row r="2" spans="1:12" s="3" customFormat="1" ht="21" x14ac:dyDescent="0.25">
      <c r="A2" s="1"/>
      <c r="B2" s="2" t="s">
        <v>266</v>
      </c>
    </row>
    <row r="4" spans="1:12" x14ac:dyDescent="0.2">
      <c r="B4" s="5" t="s">
        <v>12</v>
      </c>
      <c r="C4" s="93"/>
      <c r="D4" s="93"/>
    </row>
    <row r="5" spans="1:12" x14ac:dyDescent="0.2">
      <c r="B5" t="s">
        <v>202</v>
      </c>
      <c r="D5" s="114">
        <f>'Operating Model'!L10</f>
        <v>8.3315110625500829E-2</v>
      </c>
    </row>
    <row r="6" spans="1:12" x14ac:dyDescent="0.2">
      <c r="B6" t="s">
        <v>231</v>
      </c>
      <c r="D6" s="114">
        <f>'Operating Model'!L11</f>
        <v>2.5000000000000001E-2</v>
      </c>
    </row>
    <row r="8" spans="1:12" x14ac:dyDescent="0.2">
      <c r="A8" s="4" t="s">
        <v>1</v>
      </c>
      <c r="B8" s="5" t="s">
        <v>266</v>
      </c>
      <c r="C8" s="93"/>
      <c r="D8" s="93"/>
      <c r="E8" s="93"/>
      <c r="F8" s="93"/>
      <c r="G8" s="93"/>
      <c r="H8" s="93"/>
      <c r="I8" s="93"/>
      <c r="J8" s="93"/>
      <c r="K8" s="93"/>
    </row>
    <row r="9" spans="1:12" ht="5" customHeight="1" x14ac:dyDescent="0.2"/>
    <row r="10" spans="1:12" x14ac:dyDescent="0.2">
      <c r="A10" s="4" t="s">
        <v>1</v>
      </c>
      <c r="B10" s="8" t="s">
        <v>226</v>
      </c>
      <c r="C10" s="38">
        <v>2021</v>
      </c>
      <c r="D10" s="38">
        <f t="shared" ref="D10:K10" si="0">C10+1</f>
        <v>2022</v>
      </c>
      <c r="E10" s="38">
        <f t="shared" si="0"/>
        <v>2023</v>
      </c>
      <c r="F10" s="39">
        <f t="shared" si="0"/>
        <v>2024</v>
      </c>
      <c r="G10" s="39">
        <f t="shared" si="0"/>
        <v>2025</v>
      </c>
      <c r="H10" s="39">
        <f t="shared" si="0"/>
        <v>2026</v>
      </c>
      <c r="I10" s="39">
        <f t="shared" si="0"/>
        <v>2027</v>
      </c>
      <c r="J10" s="39">
        <f t="shared" si="0"/>
        <v>2028</v>
      </c>
      <c r="K10" s="39">
        <f t="shared" si="0"/>
        <v>2029</v>
      </c>
    </row>
    <row r="11" spans="1:12" ht="5" customHeight="1" x14ac:dyDescent="0.2"/>
    <row r="12" spans="1:12" x14ac:dyDescent="0.2">
      <c r="B12" t="s">
        <v>29</v>
      </c>
      <c r="C12" s="102">
        <f>'Operating Model'!I17</f>
        <v>279833</v>
      </c>
      <c r="D12" s="102">
        <f>'Operating Model'!J17</f>
        <v>315880</v>
      </c>
      <c r="E12" s="102">
        <f>'Operating Model'!K17</f>
        <v>352828</v>
      </c>
      <c r="F12" s="102">
        <f>'Operating Model'!L17</f>
        <v>386647</v>
      </c>
      <c r="G12" s="102">
        <f>'Operating Model'!M17</f>
        <v>423461</v>
      </c>
      <c r="H12" s="102">
        <f>'Operating Model'!N17</f>
        <v>461471</v>
      </c>
      <c r="I12" s="102">
        <f>'Operating Model'!O17</f>
        <v>497416</v>
      </c>
      <c r="J12" s="102">
        <f>'Operating Model'!P17</f>
        <v>546306</v>
      </c>
      <c r="K12" s="102">
        <f>'Operating Model'!Q17</f>
        <v>590847</v>
      </c>
      <c r="L12" s="37"/>
    </row>
    <row r="13" spans="1:12" x14ac:dyDescent="0.2">
      <c r="B13" s="45" t="s">
        <v>30</v>
      </c>
      <c r="C13" s="158">
        <f>'Operating Model'!I18</f>
        <v>0.1843178913332375</v>
      </c>
      <c r="D13" s="158">
        <f>'Operating Model'!J18</f>
        <v>0.12881611532592663</v>
      </c>
      <c r="E13" s="158">
        <f>'Operating Model'!K18</f>
        <v>0.11696846903887548</v>
      </c>
      <c r="F13" s="158">
        <f>'Operating Model'!L18</f>
        <v>9.5851236296438991E-2</v>
      </c>
      <c r="G13" s="158">
        <f>'Operating Model'!M18</f>
        <v>9.5213463443399204E-2</v>
      </c>
      <c r="H13" s="158">
        <f>'Operating Model'!N18</f>
        <v>8.9760332120313313E-2</v>
      </c>
      <c r="I13" s="158">
        <f>'Operating Model'!O18</f>
        <v>7.7892218579282302E-2</v>
      </c>
      <c r="J13" s="158">
        <f>'Operating Model'!P18</f>
        <v>9.8287952136642209E-2</v>
      </c>
      <c r="K13" s="158">
        <f>'Operating Model'!Q18</f>
        <v>8.1531229750359646E-2</v>
      </c>
      <c r="L13" s="109"/>
    </row>
    <row r="15" spans="1:12" x14ac:dyDescent="0.2">
      <c r="B15" t="s">
        <v>32</v>
      </c>
      <c r="C15" s="102">
        <f>'Operating Model'!I34</f>
        <v>7271</v>
      </c>
      <c r="D15" s="102">
        <f>'Operating Model'!J34</f>
        <v>-2847</v>
      </c>
      <c r="E15" s="102">
        <f>'Operating Model'!K34</f>
        <v>14877</v>
      </c>
      <c r="F15" s="102">
        <f>'Operating Model'!L34</f>
        <v>23233.5</v>
      </c>
      <c r="G15" s="102">
        <f>'Operating Model'!M34</f>
        <v>31059.3</v>
      </c>
      <c r="H15" s="102">
        <f>'Operating Model'!N34</f>
        <v>34190</v>
      </c>
      <c r="I15" s="102">
        <f>'Operating Model'!O34</f>
        <v>36853.134953225665</v>
      </c>
      <c r="J15" s="102">
        <f>'Operating Model'!P34</f>
        <v>40475.354117593524</v>
      </c>
      <c r="K15" s="102">
        <f>'Operating Model'!Q34</f>
        <v>43775.359513382209</v>
      </c>
    </row>
    <row r="16" spans="1:12" x14ac:dyDescent="0.2">
      <c r="B16" s="45" t="s">
        <v>31</v>
      </c>
      <c r="C16" s="158">
        <f>'Operating Model'!I35</f>
        <v>2.5983354357777676E-2</v>
      </c>
      <c r="D16" s="158">
        <f>'Operating Model'!J35</f>
        <v>-9.0129162973280989E-3</v>
      </c>
      <c r="E16" s="158">
        <f>'Operating Model'!K35</f>
        <v>4.2165020916707291E-2</v>
      </c>
      <c r="F16" s="158">
        <f>'Operating Model'!L35</f>
        <v>6.0089694217205877E-2</v>
      </c>
      <c r="G16" s="158">
        <f>'Operating Model'!M35</f>
        <v>7.3346305799117273E-2</v>
      </c>
      <c r="H16" s="158">
        <f>'Operating Model'!N35</f>
        <v>7.4089162699281216E-2</v>
      </c>
      <c r="I16" s="158">
        <f>'Operating Model'!O35</f>
        <v>7.4089162699281216E-2</v>
      </c>
      <c r="J16" s="158">
        <f>'Operating Model'!P35</f>
        <v>7.4089162699281216E-2</v>
      </c>
      <c r="K16" s="158">
        <f>'Operating Model'!Q35</f>
        <v>7.4089162699281216E-2</v>
      </c>
    </row>
    <row r="18" spans="2:11" x14ac:dyDescent="0.2">
      <c r="B18" t="s">
        <v>34</v>
      </c>
      <c r="F18" s="13">
        <f>F19*F15</f>
        <v>4123.3955048703401</v>
      </c>
      <c r="G18" s="13">
        <f t="shared" ref="G18:K18" si="1">G19*G15</f>
        <v>4744.6820959377555</v>
      </c>
      <c r="H18" s="13">
        <f t="shared" si="1"/>
        <v>5516.5289520934257</v>
      </c>
      <c r="I18" s="13">
        <f t="shared" si="1"/>
        <v>6275.7759899871535</v>
      </c>
      <c r="J18" s="13">
        <f t="shared" si="1"/>
        <v>6892.6091601112985</v>
      </c>
      <c r="K18" s="13">
        <f t="shared" si="1"/>
        <v>7285.7130104239986</v>
      </c>
    </row>
    <row r="19" spans="2:11" x14ac:dyDescent="0.2">
      <c r="B19" s="45" t="s">
        <v>35</v>
      </c>
      <c r="F19" s="158">
        <f>'Operating Model'!L52</f>
        <v>0.17747629521468311</v>
      </c>
      <c r="G19" s="158">
        <f>'Operating Model'!M52</f>
        <v>0.15276204215606132</v>
      </c>
      <c r="H19" s="158">
        <f>'Operating Model'!N52</f>
        <v>0.16134919427006217</v>
      </c>
      <c r="I19" s="158">
        <f>'Operating Model'!O52</f>
        <v>0.1702915097440808</v>
      </c>
      <c r="J19" s="158">
        <f>'Operating Model'!P52</f>
        <v>0.1702915097440808</v>
      </c>
      <c r="K19" s="158">
        <f>'Operating Model'!Q52</f>
        <v>0.16643411022579363</v>
      </c>
    </row>
    <row r="21" spans="2:11" x14ac:dyDescent="0.2">
      <c r="B21" s="42" t="s">
        <v>225</v>
      </c>
      <c r="C21" s="43"/>
      <c r="D21" s="43"/>
      <c r="E21" s="43"/>
      <c r="F21" s="110">
        <f>F15-F18</f>
        <v>19110.104495129661</v>
      </c>
      <c r="G21" s="110">
        <f t="shared" ref="G21:K21" si="2">G15-G18</f>
        <v>26314.617904062245</v>
      </c>
      <c r="H21" s="110">
        <f t="shared" si="2"/>
        <v>28673.471047906576</v>
      </c>
      <c r="I21" s="110">
        <f t="shared" si="2"/>
        <v>30577.358963238512</v>
      </c>
      <c r="J21" s="110">
        <f t="shared" si="2"/>
        <v>33582.744957482224</v>
      </c>
      <c r="K21" s="44">
        <f t="shared" si="2"/>
        <v>36489.64650295821</v>
      </c>
    </row>
    <row r="23" spans="2:11" x14ac:dyDescent="0.2">
      <c r="B23" t="s">
        <v>38</v>
      </c>
      <c r="C23" s="102">
        <f>'Operating Model'!I56</f>
        <v>13823.792570605438</v>
      </c>
      <c r="D23" s="102">
        <f>'Operating Model'!J56</f>
        <v>19451.788035628309</v>
      </c>
      <c r="E23" s="102">
        <f>'Operating Model'!K56</f>
        <v>22021.919404466502</v>
      </c>
      <c r="F23" s="102">
        <f>'Operating Model'!L56</f>
        <v>22347.588303847355</v>
      </c>
      <c r="G23" s="102">
        <f>'Operating Model'!M56</f>
        <v>25660.826941858202</v>
      </c>
      <c r="H23" s="102">
        <f>'Operating Model'!N56</f>
        <v>27813.123509098012</v>
      </c>
      <c r="I23" s="102">
        <f>'Operating Model'!O56</f>
        <v>29623.91757187941</v>
      </c>
      <c r="J23" s="102">
        <f>'Operating Model'!P56</f>
        <v>32855.579912787827</v>
      </c>
      <c r="K23" s="102">
        <f>'Operating Model'!Q56</f>
        <v>35444.42800582941</v>
      </c>
    </row>
    <row r="24" spans="2:11" x14ac:dyDescent="0.2">
      <c r="B24" s="45" t="s">
        <v>31</v>
      </c>
      <c r="C24" s="158">
        <f>'Operating Model'!I59</f>
        <v>4.9400151413898426E-2</v>
      </c>
      <c r="D24" s="158">
        <f>'Operating Model'!J59</f>
        <v>6.1579675939053787E-2</v>
      </c>
      <c r="E24" s="158">
        <f>'Operating Model'!K59</f>
        <v>6.241545286787472E-2</v>
      </c>
      <c r="F24" s="158">
        <f>'Operating Model'!L59</f>
        <v>5.7798426740275639E-2</v>
      </c>
      <c r="G24" s="158">
        <f>'Operating Model'!M59</f>
        <v>6.0597851849068046E-2</v>
      </c>
      <c r="H24" s="158">
        <f>'Operating Model'!N59</f>
        <v>6.0270577152406135E-2</v>
      </c>
      <c r="I24" s="158">
        <f>'Operating Model'!O59</f>
        <v>5.9555618580583274E-2</v>
      </c>
      <c r="J24" s="158">
        <f>'Operating Model'!P59</f>
        <v>6.0141349194019152E-2</v>
      </c>
      <c r="K24" s="158">
        <f>'Operating Model'!Q59</f>
        <v>5.9989181642336187E-2</v>
      </c>
    </row>
    <row r="26" spans="2:11" x14ac:dyDescent="0.2">
      <c r="B26" t="s">
        <v>40</v>
      </c>
      <c r="C26" s="102">
        <f>'Operating Model'!I81</f>
        <v>32756.108646686658</v>
      </c>
      <c r="D26" s="102">
        <f>'Operating Model'!J81</f>
        <v>25920.769243998075</v>
      </c>
      <c r="E26" s="102">
        <f>'Operating Model'!K81</f>
        <v>19870.294973772467</v>
      </c>
      <c r="F26" s="102">
        <f>'Operating Model'!L81</f>
        <v>32920.679686744501</v>
      </c>
      <c r="G26" s="102">
        <f>'Operating Model'!M81</f>
        <v>31550.690155187796</v>
      </c>
      <c r="H26" s="102">
        <f>'Operating Model'!N81</f>
        <v>33220.984657202869</v>
      </c>
      <c r="I26" s="102">
        <f>'Operating Model'!O81</f>
        <v>38407.157688203937</v>
      </c>
      <c r="J26" s="102">
        <f>'Operating Model'!P81</f>
        <v>40737.928523863367</v>
      </c>
      <c r="K26" s="102">
        <f>'Operating Model'!Q81</f>
        <v>44071.765249185657</v>
      </c>
    </row>
    <row r="27" spans="2:11" x14ac:dyDescent="0.2">
      <c r="B27" s="45" t="s">
        <v>31</v>
      </c>
      <c r="C27" s="158">
        <f>'Operating Model'!I84</f>
        <v>0.11705591780342797</v>
      </c>
      <c r="D27" s="158">
        <f>'Operating Model'!J84</f>
        <v>8.2058912384443697E-2</v>
      </c>
      <c r="E27" s="158">
        <f>'Operating Model'!K84</f>
        <v>5.6317228150182148E-2</v>
      </c>
      <c r="F27" s="158">
        <f>'Operating Model'!L84</f>
        <v>8.5144019446017946E-2</v>
      </c>
      <c r="G27" s="158">
        <f>'Operating Model'!M84</f>
        <v>7.4506719993547924E-2</v>
      </c>
      <c r="H27" s="158">
        <f>'Operating Model'!N84</f>
        <v>7.1989322529916008E-2</v>
      </c>
      <c r="I27" s="158">
        <f>'Operating Model'!O84</f>
        <v>7.7213353989827302E-2</v>
      </c>
      <c r="J27" s="158">
        <f>'Operating Model'!P84</f>
        <v>7.4569798837763754E-2</v>
      </c>
      <c r="K27" s="158">
        <f>'Operating Model'!Q84</f>
        <v>7.4590825119169021E-2</v>
      </c>
    </row>
    <row r="29" spans="2:11" x14ac:dyDescent="0.2">
      <c r="B29" t="s">
        <v>223</v>
      </c>
      <c r="C29" s="102">
        <f>'Operating Model'!I105</f>
        <v>-11680.604490636879</v>
      </c>
      <c r="D29" s="102">
        <f>'Operating Model'!J105</f>
        <v>-12835.968660442077</v>
      </c>
      <c r="E29" s="102">
        <f>'Operating Model'!K105</f>
        <v>-7084.3671077011404</v>
      </c>
      <c r="F29" s="102">
        <f>'Operating Model'!L105</f>
        <v>-13204.734530250542</v>
      </c>
      <c r="G29" s="102">
        <f>'Operating Model'!M105</f>
        <v>-13390.727478095927</v>
      </c>
      <c r="H29" s="102">
        <f>'Operating Model'!N105</f>
        <v>-13206.196782237752</v>
      </c>
      <c r="I29" s="102">
        <f>'Operating Model'!O105</f>
        <v>-15650.634868677338</v>
      </c>
      <c r="J29" s="102">
        <f>'Operating Model'!P105</f>
        <v>-16699.40671425586</v>
      </c>
      <c r="K29" s="102">
        <f>'Operating Model'!Q105</f>
        <v>-17853.298220315861</v>
      </c>
    </row>
    <row r="30" spans="2:11" x14ac:dyDescent="0.2">
      <c r="B30" s="45" t="s">
        <v>31</v>
      </c>
      <c r="C30" s="158">
        <f>'Operating Model'!I106</f>
        <v>-4.1741340337404377E-2</v>
      </c>
      <c r="D30" s="158">
        <f>'Operating Model'!J106</f>
        <v>-4.0635585223635799E-2</v>
      </c>
      <c r="E30" s="158">
        <f>'Operating Model'!K106</f>
        <v>-2.0078812077559436E-2</v>
      </c>
      <c r="F30" s="158">
        <f>'Operating Model'!L106</f>
        <v>-3.415191254619987E-2</v>
      </c>
      <c r="G30" s="158">
        <f>'Operating Model'!M106</f>
        <v>-3.1622103282465036E-2</v>
      </c>
      <c r="H30" s="158">
        <f>'Operating Model'!N106</f>
        <v>-2.8617609302074781E-2</v>
      </c>
      <c r="I30" s="158">
        <f>'Operating Model'!O106</f>
        <v>-3.1463875043579899E-2</v>
      </c>
      <c r="J30" s="158">
        <f>'Operating Model'!P106</f>
        <v>-3.0567862542706575E-2</v>
      </c>
      <c r="K30" s="158">
        <f>'Operating Model'!Q106</f>
        <v>-3.0216448962787083E-2</v>
      </c>
    </row>
    <row r="32" spans="2:11" x14ac:dyDescent="0.2">
      <c r="B32" s="117" t="s">
        <v>227</v>
      </c>
      <c r="C32" s="118"/>
      <c r="D32" s="118"/>
      <c r="E32" s="118"/>
      <c r="F32" s="119">
        <f>F21+F23-F26-F29</f>
        <v>21741.74764248306</v>
      </c>
      <c r="G32" s="119">
        <f t="shared" ref="G32:K32" si="3">G21+G23-G26-G29</f>
        <v>33815.482168828574</v>
      </c>
      <c r="H32" s="119">
        <f t="shared" si="3"/>
        <v>36471.806682039474</v>
      </c>
      <c r="I32" s="119">
        <f t="shared" si="3"/>
        <v>37444.753715591331</v>
      </c>
      <c r="J32" s="119">
        <f t="shared" si="3"/>
        <v>42399.80306066254</v>
      </c>
      <c r="K32" s="120">
        <f t="shared" si="3"/>
        <v>45715.607479917831</v>
      </c>
    </row>
    <row r="33" spans="1:11" x14ac:dyDescent="0.2">
      <c r="A33" s="4" t="s">
        <v>1</v>
      </c>
      <c r="B33" s="121" t="s">
        <v>232</v>
      </c>
      <c r="C33" s="122"/>
      <c r="D33" s="122"/>
      <c r="E33" s="122"/>
      <c r="F33" s="123">
        <f>(F32*F35)/(1+$D$5)^F36</f>
        <v>3599.5396910579739</v>
      </c>
      <c r="G33" s="123">
        <f>G32/(1+$D$5)^G36</f>
        <v>32058.685942625856</v>
      </c>
      <c r="H33" s="123">
        <f t="shared" ref="H33:K33" si="4">H32/(1+$D$5)^H36</f>
        <v>31917.775006125768</v>
      </c>
      <c r="I33" s="123">
        <f t="shared" si="4"/>
        <v>30249.033944853338</v>
      </c>
      <c r="J33" s="123">
        <f t="shared" si="4"/>
        <v>31617.648662645963</v>
      </c>
      <c r="K33" s="124">
        <f t="shared" si="4"/>
        <v>31468.455223956276</v>
      </c>
    </row>
    <row r="35" spans="1:11" x14ac:dyDescent="0.2">
      <c r="B35" t="s">
        <v>234</v>
      </c>
      <c r="F35" s="159">
        <f>Consolidated!F35</f>
        <v>0.16666666666666666</v>
      </c>
      <c r="G35" s="160"/>
      <c r="H35" s="160"/>
      <c r="I35" s="160"/>
      <c r="J35" s="160"/>
      <c r="K35" s="160"/>
    </row>
    <row r="36" spans="1:11" x14ac:dyDescent="0.2">
      <c r="B36" t="s">
        <v>233</v>
      </c>
      <c r="F36" s="159">
        <f>Consolidated!F36</f>
        <v>8.3333333333333329E-2</v>
      </c>
      <c r="G36" s="159">
        <f>Consolidated!G36</f>
        <v>0.66666666666666663</v>
      </c>
      <c r="H36" s="159">
        <f>Consolidated!H36</f>
        <v>1.6666666666666665</v>
      </c>
      <c r="I36" s="159">
        <f>Consolidated!I36</f>
        <v>2.6666666666666665</v>
      </c>
      <c r="J36" s="159">
        <f>Consolidated!J36</f>
        <v>3.6666666666666665</v>
      </c>
      <c r="K36" s="159">
        <f>Consolidated!K36</f>
        <v>4.6666666666666661</v>
      </c>
    </row>
    <row r="38" spans="1:11" x14ac:dyDescent="0.2">
      <c r="B38" t="s">
        <v>235</v>
      </c>
      <c r="K38" s="37">
        <f>C49</f>
        <v>950615.74194012466</v>
      </c>
    </row>
    <row r="39" spans="1:11" x14ac:dyDescent="0.2">
      <c r="A39" s="4" t="s">
        <v>1</v>
      </c>
      <c r="B39" t="s">
        <v>236</v>
      </c>
      <c r="K39" s="37">
        <f>C50</f>
        <v>654358.77503261296</v>
      </c>
    </row>
    <row r="41" spans="1:11" x14ac:dyDescent="0.2">
      <c r="B41" s="129" t="s">
        <v>15</v>
      </c>
      <c r="K41" s="130">
        <f>SUM(F33:K33,K39)</f>
        <v>815269.91350387817</v>
      </c>
    </row>
    <row r="42" spans="1:11" x14ac:dyDescent="0.2">
      <c r="B42" s="129"/>
      <c r="K42" s="130"/>
    </row>
    <row r="43" spans="1:11" x14ac:dyDescent="0.2">
      <c r="A43" s="4" t="s">
        <v>1</v>
      </c>
      <c r="B43" s="5" t="s">
        <v>235</v>
      </c>
      <c r="C43" s="93"/>
      <c r="D43" s="93"/>
      <c r="E43" s="93"/>
      <c r="F43" s="93"/>
      <c r="G43" s="93"/>
      <c r="H43" s="93"/>
      <c r="I43" s="93"/>
      <c r="J43" s="93"/>
      <c r="K43" s="93"/>
    </row>
    <row r="44" spans="1:11" ht="5" customHeight="1" x14ac:dyDescent="0.2"/>
    <row r="45" spans="1:11" x14ac:dyDescent="0.2">
      <c r="B45" s="8" t="s">
        <v>15</v>
      </c>
      <c r="C45" s="8"/>
      <c r="E45" s="8" t="s">
        <v>277</v>
      </c>
      <c r="F45" s="8"/>
      <c r="G45" s="8"/>
      <c r="I45" s="8" t="s">
        <v>278</v>
      </c>
      <c r="J45" s="8"/>
      <c r="K45" s="8"/>
    </row>
    <row r="46" spans="1:11" x14ac:dyDescent="0.2">
      <c r="B46" t="s">
        <v>279</v>
      </c>
      <c r="C46" s="224">
        <v>0.8</v>
      </c>
      <c r="E46" t="s">
        <v>273</v>
      </c>
      <c r="G46" s="218">
        <f>D6</f>
        <v>2.5000000000000001E-2</v>
      </c>
      <c r="I46" t="s">
        <v>276</v>
      </c>
      <c r="K46" s="14">
        <f>K15+K23</f>
        <v>79219.787519211619</v>
      </c>
    </row>
    <row r="47" spans="1:11" x14ac:dyDescent="0.2">
      <c r="B47" t="s">
        <v>280</v>
      </c>
      <c r="C47" s="225">
        <f>1-C46</f>
        <v>0.19999999999999996</v>
      </c>
      <c r="E47" t="s">
        <v>235</v>
      </c>
      <c r="G47" s="13">
        <f>(K32*(1+G46))/(D5-G46)</f>
        <v>803539.54857156437</v>
      </c>
      <c r="I47" t="s">
        <v>270</v>
      </c>
      <c r="K47" s="226">
        <f>Comps!AC22</f>
        <v>19.425961159529265</v>
      </c>
    </row>
    <row r="48" spans="1:11" x14ac:dyDescent="0.2">
      <c r="E48" s="3" t="s">
        <v>236</v>
      </c>
      <c r="F48" s="3"/>
      <c r="G48" s="219">
        <f>G47/(1+D5)^K36</f>
        <v>553118.50150979916</v>
      </c>
      <c r="I48" t="s">
        <v>235</v>
      </c>
      <c r="K48" s="14">
        <f>K46*K47</f>
        <v>1538920.5154143663</v>
      </c>
    </row>
    <row r="49" spans="1:19" x14ac:dyDescent="0.2">
      <c r="B49" t="s">
        <v>281</v>
      </c>
      <c r="C49" s="13">
        <f>C46*G47+C47*K48</f>
        <v>950615.74194012466</v>
      </c>
      <c r="E49" s="129" t="s">
        <v>272</v>
      </c>
      <c r="F49" s="129"/>
      <c r="G49" s="130">
        <f>SUM(F33:K33)+G48</f>
        <v>714029.63998106436</v>
      </c>
      <c r="I49" s="3" t="s">
        <v>236</v>
      </c>
      <c r="J49" s="3"/>
      <c r="K49" s="223">
        <f>K48/(1+$D$5)^K36</f>
        <v>1059319.8691238684</v>
      </c>
    </row>
    <row r="50" spans="1:19" x14ac:dyDescent="0.2">
      <c r="B50" t="s">
        <v>236</v>
      </c>
      <c r="C50" s="13">
        <f>C46*G48+C47*K49</f>
        <v>654358.77503261296</v>
      </c>
      <c r="I50" s="129" t="s">
        <v>272</v>
      </c>
      <c r="J50" s="129"/>
      <c r="K50" s="130">
        <f>SUM(F33:K33)+K49</f>
        <v>1220231.0075951335</v>
      </c>
    </row>
    <row r="52" spans="1:19" x14ac:dyDescent="0.2">
      <c r="E52" t="s">
        <v>274</v>
      </c>
      <c r="G52" s="221">
        <f>G48/G49</f>
        <v>0.7746436149687953</v>
      </c>
      <c r="I52" t="s">
        <v>274</v>
      </c>
      <c r="K52" s="221">
        <f>K49/K50</f>
        <v>0.86813059374028412</v>
      </c>
    </row>
    <row r="53" spans="1:19" x14ac:dyDescent="0.2">
      <c r="A53" s="4" t="s">
        <v>1</v>
      </c>
      <c r="E53" t="s">
        <v>275</v>
      </c>
      <c r="G53" s="222">
        <f>G49/(K15+K23)</f>
        <v>9.0132738592350403</v>
      </c>
      <c r="I53" t="s">
        <v>271</v>
      </c>
      <c r="K53" s="220">
        <f>(($D$5-(K32/K48))/((1+(K32/K48))))</f>
        <v>5.2062252219140313E-2</v>
      </c>
    </row>
    <row r="55" spans="1:19" x14ac:dyDescent="0.2">
      <c r="M55" s="5" t="s">
        <v>356</v>
      </c>
      <c r="N55" s="93"/>
      <c r="O55" s="93"/>
      <c r="P55" s="93"/>
      <c r="Q55" s="93"/>
      <c r="R55" s="93"/>
      <c r="S55" s="93"/>
    </row>
    <row r="56" spans="1:19" ht="5" customHeight="1" x14ac:dyDescent="0.2"/>
    <row r="57" spans="1:19" x14ac:dyDescent="0.2">
      <c r="M57" s="233"/>
      <c r="N57" s="234"/>
      <c r="O57" s="234" t="s">
        <v>202</v>
      </c>
      <c r="P57" s="234"/>
      <c r="Q57" s="234"/>
      <c r="R57" s="234"/>
      <c r="S57" s="235"/>
    </row>
    <row r="58" spans="1:19" x14ac:dyDescent="0.2">
      <c r="M58" s="238"/>
      <c r="N58" s="243">
        <f>K41</f>
        <v>815269.91350387817</v>
      </c>
      <c r="O58" s="236">
        <f>P58+0.25%</f>
        <v>8.8315110625500834E-2</v>
      </c>
      <c r="P58" s="236">
        <f>Q58+0.25%</f>
        <v>8.5815110625500832E-2</v>
      </c>
      <c r="Q58" s="236">
        <v>8.3315110625500829E-2</v>
      </c>
      <c r="R58" s="236">
        <f>Q58-0.25%</f>
        <v>8.0815110625500827E-2</v>
      </c>
      <c r="S58" s="237">
        <f>R58-0.25%</f>
        <v>7.8315110625500825E-2</v>
      </c>
    </row>
    <row r="59" spans="1:19" x14ac:dyDescent="0.2">
      <c r="M59" s="238"/>
      <c r="N59" s="239">
        <f>N60-0.25%</f>
        <v>2.0000000000000004E-2</v>
      </c>
      <c r="O59" s="252">
        <f t="dataTable" ref="O59:S63" dt2D="1" dtr="1" r1="D5" r2="D6"/>
        <v>734248.08609192027</v>
      </c>
      <c r="P59" s="253">
        <v>755530.91030850378</v>
      </c>
      <c r="Q59" s="253">
        <v>778338.00572018989</v>
      </c>
      <c r="R59" s="253">
        <v>802854.02307120385</v>
      </c>
      <c r="S59" s="254">
        <v>829295.20428962703</v>
      </c>
    </row>
    <row r="60" spans="1:19" x14ac:dyDescent="0.2">
      <c r="M60" s="238"/>
      <c r="N60" s="239">
        <f>N61-0.25%</f>
        <v>2.2500000000000003E-2</v>
      </c>
      <c r="O60" s="255">
        <v>749158.33919588989</v>
      </c>
      <c r="P60" s="81">
        <v>771754.86061952461</v>
      </c>
      <c r="Q60" s="81">
        <v>796044.85740446113</v>
      </c>
      <c r="R60" s="81">
        <v>822242.63525568764</v>
      </c>
      <c r="S60" s="256">
        <v>850600.8187107665</v>
      </c>
    </row>
    <row r="61" spans="1:19" x14ac:dyDescent="0.2">
      <c r="M61" s="240" t="s">
        <v>231</v>
      </c>
      <c r="N61" s="239">
        <v>2.5000000000000001E-2</v>
      </c>
      <c r="O61" s="255">
        <v>765246.05633306329</v>
      </c>
      <c r="P61" s="81">
        <v>789312.68586262665</v>
      </c>
      <c r="Q61" s="81">
        <v>815269.91350387817</v>
      </c>
      <c r="R61" s="81">
        <v>843368.10793970292</v>
      </c>
      <c r="S61" s="256">
        <v>873904.51718079706</v>
      </c>
    </row>
    <row r="62" spans="1:19" x14ac:dyDescent="0.2">
      <c r="M62" s="238"/>
      <c r="N62" s="239">
        <f>N61+0.25%</f>
        <v>2.75E-2</v>
      </c>
      <c r="O62" s="255">
        <v>782656.44779999671</v>
      </c>
      <c r="P62" s="81">
        <v>808375.93783430522</v>
      </c>
      <c r="Q62" s="81">
        <v>836217.17850729718</v>
      </c>
      <c r="R62" s="81">
        <v>866474.77061246336</v>
      </c>
      <c r="S62" s="256">
        <v>899501.20470301912</v>
      </c>
    </row>
    <row r="63" spans="1:19" x14ac:dyDescent="0.2">
      <c r="M63" s="241"/>
      <c r="N63" s="242">
        <f>N62+0.25%</f>
        <v>0.03</v>
      </c>
      <c r="O63" s="257">
        <v>801559.62486573856</v>
      </c>
      <c r="P63" s="258">
        <v>829146.90405737923</v>
      </c>
      <c r="Q63" s="258">
        <v>859128.9208190873</v>
      </c>
      <c r="R63" s="258">
        <v>891855.0348171629</v>
      </c>
      <c r="S63" s="259">
        <v>927746.82412158151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8CAF-8AB7-466F-99DF-B0216EA6EB65}">
  <dimension ref="A2:S63"/>
  <sheetViews>
    <sheetView showGridLines="0" zoomScale="150" zoomScaleNormal="150" workbookViewId="0"/>
  </sheetViews>
  <sheetFormatPr baseColWidth="10" defaultColWidth="8.83203125" defaultRowHeight="15" x14ac:dyDescent="0.2"/>
  <cols>
    <col min="1" max="1" width="3.5" customWidth="1"/>
    <col min="2" max="2" width="18.1640625" bestFit="1" customWidth="1"/>
    <col min="3" max="11" width="15.5" customWidth="1"/>
  </cols>
  <sheetData>
    <row r="2" spans="1:12" s="3" customFormat="1" ht="21" x14ac:dyDescent="0.25">
      <c r="B2" s="2" t="s">
        <v>267</v>
      </c>
    </row>
    <row r="4" spans="1:12" x14ac:dyDescent="0.2">
      <c r="B4" s="5" t="s">
        <v>12</v>
      </c>
      <c r="C4" s="93"/>
      <c r="D4" s="93"/>
    </row>
    <row r="5" spans="1:12" x14ac:dyDescent="0.2">
      <c r="B5" t="s">
        <v>202</v>
      </c>
      <c r="D5" s="114">
        <f>'Operating Model'!L10</f>
        <v>8.3315110625500829E-2</v>
      </c>
    </row>
    <row r="6" spans="1:12" x14ac:dyDescent="0.2">
      <c r="B6" t="s">
        <v>231</v>
      </c>
      <c r="D6" s="114">
        <f>'Operating Model'!L11</f>
        <v>2.5000000000000001E-2</v>
      </c>
    </row>
    <row r="8" spans="1:12" x14ac:dyDescent="0.2">
      <c r="A8" s="4" t="s">
        <v>1</v>
      </c>
      <c r="B8" s="5" t="s">
        <v>267</v>
      </c>
      <c r="C8" s="93"/>
      <c r="D8" s="93"/>
      <c r="E8" s="93"/>
      <c r="F8" s="93"/>
      <c r="G8" s="93"/>
      <c r="H8" s="93"/>
      <c r="I8" s="93"/>
      <c r="J8" s="93"/>
      <c r="K8" s="93"/>
    </row>
    <row r="9" spans="1:12" ht="5" customHeight="1" x14ac:dyDescent="0.2">
      <c r="A9" s="4"/>
    </row>
    <row r="10" spans="1:12" x14ac:dyDescent="0.2">
      <c r="A10" s="4" t="s">
        <v>1</v>
      </c>
      <c r="B10" s="8" t="s">
        <v>226</v>
      </c>
      <c r="C10" s="38">
        <v>2021</v>
      </c>
      <c r="D10" s="38">
        <f t="shared" ref="D10:K10" si="0">C10+1</f>
        <v>2022</v>
      </c>
      <c r="E10" s="38">
        <f t="shared" si="0"/>
        <v>2023</v>
      </c>
      <c r="F10" s="39">
        <f t="shared" si="0"/>
        <v>2024</v>
      </c>
      <c r="G10" s="39">
        <f t="shared" si="0"/>
        <v>2025</v>
      </c>
      <c r="H10" s="39">
        <f t="shared" si="0"/>
        <v>2026</v>
      </c>
      <c r="I10" s="39">
        <f t="shared" si="0"/>
        <v>2027</v>
      </c>
      <c r="J10" s="39">
        <f t="shared" si="0"/>
        <v>2028</v>
      </c>
      <c r="K10" s="39">
        <f t="shared" si="0"/>
        <v>2029</v>
      </c>
    </row>
    <row r="11" spans="1:12" ht="5" customHeight="1" x14ac:dyDescent="0.2">
      <c r="A11" s="4"/>
    </row>
    <row r="12" spans="1:12" x14ac:dyDescent="0.2">
      <c r="A12" s="4"/>
      <c r="B12" t="s">
        <v>29</v>
      </c>
      <c r="C12" s="102">
        <f>'Operating Model'!I21</f>
        <v>127787</v>
      </c>
      <c r="D12" s="102">
        <f>'Operating Model'!J21</f>
        <v>118007</v>
      </c>
      <c r="E12" s="102">
        <f>'Operating Model'!K21</f>
        <v>131200</v>
      </c>
      <c r="F12" s="102">
        <f>'Operating Model'!L21</f>
        <v>141444</v>
      </c>
      <c r="G12" s="102">
        <f>'Operating Model'!M21</f>
        <v>154680</v>
      </c>
      <c r="H12" s="102">
        <f>'Operating Model'!N21</f>
        <v>171709</v>
      </c>
      <c r="I12" s="102">
        <f>'Operating Model'!O21</f>
        <v>192631</v>
      </c>
      <c r="J12" s="102">
        <f>'Operating Model'!P21</f>
        <v>199416</v>
      </c>
      <c r="K12" s="102">
        <f>'Operating Model'!Q21</f>
        <v>215930</v>
      </c>
      <c r="L12" s="37"/>
    </row>
    <row r="13" spans="1:12" x14ac:dyDescent="0.2">
      <c r="A13" s="4"/>
      <c r="B13" s="45" t="s">
        <v>30</v>
      </c>
      <c r="C13" s="158">
        <f>'Operating Model'!I22</f>
        <v>0.22387273493468185</v>
      </c>
      <c r="D13" s="158">
        <f>'Operating Model'!J22</f>
        <v>-7.6533606704907386E-2</v>
      </c>
      <c r="E13" s="158">
        <f>'Operating Model'!K22</f>
        <v>0.11179845263416577</v>
      </c>
      <c r="F13" s="158">
        <f>'Operating Model'!L22</f>
        <v>7.8079268292682968E-2</v>
      </c>
      <c r="G13" s="158">
        <f>'Operating Model'!M22</f>
        <v>9.3577670314753503E-2</v>
      </c>
      <c r="H13" s="158">
        <f>'Operating Model'!N22</f>
        <v>0.11009180243082484</v>
      </c>
      <c r="I13" s="158">
        <f>'Operating Model'!O22</f>
        <v>0.12184568077386748</v>
      </c>
      <c r="J13" s="158">
        <f>'Operating Model'!P22</f>
        <v>3.5222783456452911E-2</v>
      </c>
      <c r="K13" s="158">
        <f>'Operating Model'!Q22</f>
        <v>8.2811810486620896E-2</v>
      </c>
      <c r="L13" s="109"/>
    </row>
    <row r="14" spans="1:12" x14ac:dyDescent="0.2">
      <c r="A14" s="4"/>
    </row>
    <row r="15" spans="1:12" x14ac:dyDescent="0.2">
      <c r="A15" s="4"/>
      <c r="B15" t="s">
        <v>32</v>
      </c>
      <c r="C15" s="102">
        <f>'Operating Model'!I38</f>
        <v>-924</v>
      </c>
      <c r="D15" s="102">
        <f>'Operating Model'!J38</f>
        <v>-7746</v>
      </c>
      <c r="E15" s="102">
        <f>'Operating Model'!K38</f>
        <v>-2656</v>
      </c>
      <c r="F15" s="102">
        <f>'Operating Model'!L38</f>
        <v>1765.17</v>
      </c>
      <c r="G15" s="102">
        <f>'Operating Model'!M38</f>
        <v>3899.91</v>
      </c>
      <c r="H15" s="102">
        <f>'Operating Model'!N38</f>
        <v>9726</v>
      </c>
      <c r="I15" s="102">
        <f>'Operating Model'!O38</f>
        <v>10911.071091206635</v>
      </c>
      <c r="J15" s="102">
        <f>'Operating Model'!P38</f>
        <v>11295.38938553017</v>
      </c>
      <c r="K15" s="102">
        <f>'Operating Model'!Q38</f>
        <v>12230.781030697284</v>
      </c>
    </row>
    <row r="16" spans="1:12" x14ac:dyDescent="0.2">
      <c r="A16" s="4"/>
      <c r="B16" s="45" t="s">
        <v>31</v>
      </c>
      <c r="C16" s="158">
        <f>'Operating Model'!I39</f>
        <v>-7.2307824739605746E-3</v>
      </c>
      <c r="D16" s="158">
        <f>'Operating Model'!J39</f>
        <v>-6.5640173887989692E-2</v>
      </c>
      <c r="E16" s="158">
        <f>'Operating Model'!K39</f>
        <v>-2.0243902439024391E-2</v>
      </c>
      <c r="F16" s="158">
        <f>'Operating Model'!L39</f>
        <v>1.247963858488165E-2</v>
      </c>
      <c r="G16" s="158">
        <f>'Operating Model'!M39</f>
        <v>2.5212761830876649E-2</v>
      </c>
      <c r="H16" s="158">
        <f>'Operating Model'!N39</f>
        <v>5.6642342567949262E-2</v>
      </c>
      <c r="I16" s="158">
        <f>'Operating Model'!O39</f>
        <v>5.6642342567949262E-2</v>
      </c>
      <c r="J16" s="158">
        <f>'Operating Model'!P39</f>
        <v>5.6642342567949262E-2</v>
      </c>
      <c r="K16" s="158">
        <f>'Operating Model'!Q39</f>
        <v>5.6642342567949262E-2</v>
      </c>
    </row>
    <row r="17" spans="1:11" x14ac:dyDescent="0.2">
      <c r="A17" s="4"/>
    </row>
    <row r="18" spans="1:11" x14ac:dyDescent="0.2">
      <c r="A18" s="4"/>
      <c r="B18" t="s">
        <v>34</v>
      </c>
      <c r="F18" s="13">
        <f>F19*F15</f>
        <v>313.27583202410221</v>
      </c>
      <c r="G18" s="13">
        <f t="shared" ref="G18:K18" si="1">G19*G15</f>
        <v>595.75821582484502</v>
      </c>
      <c r="H18" s="13">
        <f t="shared" si="1"/>
        <v>1569.2822634706247</v>
      </c>
      <c r="I18" s="13">
        <f t="shared" si="1"/>
        <v>1858.0627690465731</v>
      </c>
      <c r="J18" s="13">
        <f t="shared" si="1"/>
        <v>1923.5089116091979</v>
      </c>
      <c r="K18" s="13">
        <f t="shared" si="1"/>
        <v>2035.6191582106176</v>
      </c>
    </row>
    <row r="19" spans="1:11" x14ac:dyDescent="0.2">
      <c r="A19" s="4"/>
      <c r="B19" s="45" t="s">
        <v>35</v>
      </c>
      <c r="F19" s="158">
        <f>'Operating Model'!L52</f>
        <v>0.17747629521468311</v>
      </c>
      <c r="G19" s="158">
        <f>'Operating Model'!M52</f>
        <v>0.15276204215606132</v>
      </c>
      <c r="H19" s="158">
        <f>'Operating Model'!N52</f>
        <v>0.16134919427006217</v>
      </c>
      <c r="I19" s="158">
        <f>'Operating Model'!O52</f>
        <v>0.1702915097440808</v>
      </c>
      <c r="J19" s="158">
        <f>'Operating Model'!P52</f>
        <v>0.1702915097440808</v>
      </c>
      <c r="K19" s="158">
        <f>'Operating Model'!Q52</f>
        <v>0.16643411022579363</v>
      </c>
    </row>
    <row r="20" spans="1:11" x14ac:dyDescent="0.2">
      <c r="A20" s="4"/>
    </row>
    <row r="21" spans="1:11" x14ac:dyDescent="0.2">
      <c r="A21" s="4"/>
      <c r="B21" s="42" t="s">
        <v>225</v>
      </c>
      <c r="C21" s="43"/>
      <c r="D21" s="43"/>
      <c r="E21" s="43"/>
      <c r="F21" s="110">
        <f>F15-F18</f>
        <v>1451.8941679758977</v>
      </c>
      <c r="G21" s="110">
        <f t="shared" ref="G21:K21" si="2">G15-G18</f>
        <v>3304.1517841751547</v>
      </c>
      <c r="H21" s="110">
        <f t="shared" si="2"/>
        <v>8156.7177365293755</v>
      </c>
      <c r="I21" s="110">
        <f t="shared" si="2"/>
        <v>9053.0083221600617</v>
      </c>
      <c r="J21" s="110">
        <f t="shared" si="2"/>
        <v>9371.8804739209718</v>
      </c>
      <c r="K21" s="44">
        <f t="shared" si="2"/>
        <v>10195.161872486668</v>
      </c>
    </row>
    <row r="22" spans="1:11" x14ac:dyDescent="0.2">
      <c r="A22" s="4"/>
    </row>
    <row r="23" spans="1:11" x14ac:dyDescent="0.2">
      <c r="A23" s="4"/>
      <c r="B23" t="s">
        <v>38</v>
      </c>
      <c r="C23" s="102">
        <f>'Operating Model'!I61</f>
        <v>4524.0958575232435</v>
      </c>
      <c r="D23" s="102">
        <f>'Operating Model'!J61</f>
        <v>5858.2427780452572</v>
      </c>
      <c r="E23" s="102">
        <f>'Operating Model'!K61</f>
        <v>6465.8596526054598</v>
      </c>
      <c r="F23" s="102">
        <f>'Operating Model'!L61</f>
        <v>6333.3464994478427</v>
      </c>
      <c r="G23" s="102">
        <f>'Operating Model'!M61</f>
        <v>7409.2751380164646</v>
      </c>
      <c r="H23" s="102">
        <f>'Operating Model'!N61</f>
        <v>8125.2405079920536</v>
      </c>
      <c r="I23" s="102">
        <f>'Operating Model'!O61</f>
        <v>8989.2443340027894</v>
      </c>
      <c r="J23" s="102">
        <f>'Operating Model'!P61</f>
        <v>9431.4536387874577</v>
      </c>
      <c r="K23" s="102">
        <f>'Operating Model'!Q61</f>
        <v>10168.922194020122</v>
      </c>
    </row>
    <row r="24" spans="1:11" x14ac:dyDescent="0.2">
      <c r="A24" s="4"/>
      <c r="B24" s="45" t="s">
        <v>31</v>
      </c>
      <c r="C24" s="158">
        <f>'Operating Model'!I64</f>
        <v>3.5403412377810292E-2</v>
      </c>
      <c r="D24" s="158">
        <f>'Operating Model'!J64</f>
        <v>4.9643180303246902E-2</v>
      </c>
      <c r="E24" s="158">
        <f>'Operating Model'!K64</f>
        <v>4.9282466864370884E-2</v>
      </c>
      <c r="F24" s="158">
        <f>'Operating Model'!L64</f>
        <v>4.4776353181809357E-2</v>
      </c>
      <c r="G24" s="158">
        <f>'Operating Model'!M64</f>
        <v>4.7900666783142386E-2</v>
      </c>
      <c r="H24" s="158">
        <f>'Operating Model'!N64</f>
        <v>4.7319828943107545E-2</v>
      </c>
      <c r="I24" s="158">
        <f>'Operating Model'!O64</f>
        <v>4.6665616302686432E-2</v>
      </c>
      <c r="J24" s="158">
        <f>'Operating Model'!P64</f>
        <v>4.7295370676312121E-2</v>
      </c>
      <c r="K24" s="158">
        <f>'Operating Model'!Q64</f>
        <v>4.7093605307368697E-2</v>
      </c>
    </row>
    <row r="25" spans="1:11" x14ac:dyDescent="0.2">
      <c r="A25" s="4"/>
    </row>
    <row r="26" spans="1:11" x14ac:dyDescent="0.2">
      <c r="A26" s="4"/>
      <c r="B26" t="s">
        <v>40</v>
      </c>
      <c r="C26" s="102">
        <f>'Operating Model'!I86</f>
        <v>8985.8790439435888</v>
      </c>
      <c r="D26" s="102">
        <f>'Operating Model'!J86</f>
        <v>7345.421940565454</v>
      </c>
      <c r="E26" s="102">
        <f>'Operating Model'!K86</f>
        <v>4697.5014188666264</v>
      </c>
      <c r="F26" s="102">
        <f>'Operating Model'!L86</f>
        <v>7938.2601115820044</v>
      </c>
      <c r="G26" s="102">
        <f>'Operating Model'!M86</f>
        <v>7949.1476087912333</v>
      </c>
      <c r="H26" s="102">
        <f>'Operating Model'!N86</f>
        <v>8202.9989228117538</v>
      </c>
      <c r="I26" s="102">
        <f>'Operating Model'!O86</f>
        <v>9971.0036398586544</v>
      </c>
      <c r="J26" s="102">
        <f>'Operating Model'!P86</f>
        <v>10032.339505004129</v>
      </c>
      <c r="K26" s="102">
        <f>'Operating Model'!Q86</f>
        <v>10785.233770555706</v>
      </c>
    </row>
    <row r="27" spans="1:11" x14ac:dyDescent="0.2">
      <c r="A27" s="4"/>
      <c r="B27" s="45" t="s">
        <v>31</v>
      </c>
      <c r="C27" s="158">
        <f>'Operating Model'!I89</f>
        <v>7.0319195567182802E-2</v>
      </c>
      <c r="D27" s="158">
        <f>'Operating Model'!J89</f>
        <v>6.224564594104972E-2</v>
      </c>
      <c r="E27" s="158">
        <f>'Operating Model'!K89</f>
        <v>3.5804126668190751E-2</v>
      </c>
      <c r="F27" s="158">
        <f>'Operating Model'!L89</f>
        <v>5.6122989392141089E-2</v>
      </c>
      <c r="G27" s="158">
        <f>'Operating Model'!M89</f>
        <v>5.1390920667127186E-2</v>
      </c>
      <c r="H27" s="158">
        <f>'Operating Model'!N89</f>
        <v>4.7772678909153009E-2</v>
      </c>
      <c r="I27" s="158">
        <f>'Operating Model'!O89</f>
        <v>5.1762196322807097E-2</v>
      </c>
      <c r="J27" s="158">
        <f>'Operating Model'!P89</f>
        <v>5.030859863302909E-2</v>
      </c>
      <c r="K27" s="158">
        <f>'Operating Model'!Q89</f>
        <v>4.9947824621663063E-2</v>
      </c>
    </row>
    <row r="28" spans="1:11" x14ac:dyDescent="0.2">
      <c r="A28" s="4"/>
    </row>
    <row r="29" spans="1:11" x14ac:dyDescent="0.2">
      <c r="A29" s="4"/>
      <c r="B29" t="s">
        <v>223</v>
      </c>
      <c r="C29" s="102">
        <f>'Operating Model'!I109</f>
        <v>-5334.0006576958931</v>
      </c>
      <c r="D29" s="102">
        <f>'Operating Model'!J109</f>
        <v>-4795.2835054855905</v>
      </c>
      <c r="E29" s="102">
        <f>'Operating Model'!K109</f>
        <v>-2634.3401445757977</v>
      </c>
      <c r="F29" s="102">
        <f>'Operating Model'!L109</f>
        <v>-4830.5831181846943</v>
      </c>
      <c r="G29" s="102">
        <f>'Operating Model'!M109</f>
        <v>-4891.3069357316917</v>
      </c>
      <c r="H29" s="102">
        <f>'Operating Model'!N109</f>
        <v>-4913.9010756499583</v>
      </c>
      <c r="I29" s="102">
        <f>'Operating Model'!O109</f>
        <v>-6060.9177135198397</v>
      </c>
      <c r="J29" s="102">
        <f>'Operating Model'!P109</f>
        <v>-6095.7208768163746</v>
      </c>
      <c r="K29" s="102">
        <f>'Operating Model'!Q109</f>
        <v>-6524.637824534615</v>
      </c>
    </row>
    <row r="30" spans="1:11" x14ac:dyDescent="0.2">
      <c r="A30" s="4"/>
      <c r="B30" s="45" t="s">
        <v>31</v>
      </c>
      <c r="C30" s="158">
        <f>'Operating Model'!I110</f>
        <v>-4.1741340337404377E-2</v>
      </c>
      <c r="D30" s="158">
        <f>'Operating Model'!J110</f>
        <v>-4.0635585223635806E-2</v>
      </c>
      <c r="E30" s="158">
        <f>'Operating Model'!K110</f>
        <v>-2.0078812077559433E-2</v>
      </c>
      <c r="F30" s="158">
        <f>'Operating Model'!L110</f>
        <v>-3.415191254619987E-2</v>
      </c>
      <c r="G30" s="158">
        <f>'Operating Model'!M110</f>
        <v>-3.1622103282465036E-2</v>
      </c>
      <c r="H30" s="158">
        <f>'Operating Model'!N110</f>
        <v>-2.8617609302074781E-2</v>
      </c>
      <c r="I30" s="158">
        <f>'Operating Model'!O110</f>
        <v>-3.1463875043579899E-2</v>
      </c>
      <c r="J30" s="158">
        <f>'Operating Model'!P110</f>
        <v>-3.0567862542706575E-2</v>
      </c>
      <c r="K30" s="158">
        <f>'Operating Model'!Q110</f>
        <v>-3.0216448962787083E-2</v>
      </c>
    </row>
    <row r="31" spans="1:11" x14ac:dyDescent="0.2">
      <c r="A31" s="4"/>
    </row>
    <row r="32" spans="1:11" x14ac:dyDescent="0.2">
      <c r="A32" s="4"/>
      <c r="B32" s="117" t="s">
        <v>227</v>
      </c>
      <c r="C32" s="118"/>
      <c r="D32" s="118"/>
      <c r="E32" s="118"/>
      <c r="F32" s="119">
        <f>F21+F23-F26-F29</f>
        <v>4677.5636740264308</v>
      </c>
      <c r="G32" s="119">
        <f t="shared" ref="G32:K32" si="3">G21+G23-G26-G29</f>
        <v>7655.5862491320768</v>
      </c>
      <c r="H32" s="119">
        <f t="shared" si="3"/>
        <v>12992.860397359633</v>
      </c>
      <c r="I32" s="119">
        <f t="shared" si="3"/>
        <v>14132.166729824035</v>
      </c>
      <c r="J32" s="119">
        <f t="shared" si="3"/>
        <v>14866.715484520673</v>
      </c>
      <c r="K32" s="120">
        <f t="shared" si="3"/>
        <v>16103.488120485697</v>
      </c>
    </row>
    <row r="33" spans="1:11" x14ac:dyDescent="0.2">
      <c r="A33" s="4" t="s">
        <v>1</v>
      </c>
      <c r="B33" s="121" t="s">
        <v>232</v>
      </c>
      <c r="C33" s="122"/>
      <c r="D33" s="122"/>
      <c r="E33" s="122"/>
      <c r="F33" s="123">
        <f>(F32*F35)/(1+$D$5)^F36</f>
        <v>774.41226800046638</v>
      </c>
      <c r="G33" s="123">
        <f>G32/(1+$D$5)^G36</f>
        <v>7257.8599956752405</v>
      </c>
      <c r="H33" s="123">
        <f t="shared" ref="H33:K33" si="4">H32/(1+$D$5)^H36</f>
        <v>11370.51417453216</v>
      </c>
      <c r="I33" s="123">
        <f t="shared" si="4"/>
        <v>11416.402798952777</v>
      </c>
      <c r="J33" s="123">
        <f t="shared" si="4"/>
        <v>11086.15024189096</v>
      </c>
      <c r="K33" s="124">
        <f t="shared" si="4"/>
        <v>11084.877196297224</v>
      </c>
    </row>
    <row r="34" spans="1:11" x14ac:dyDescent="0.2">
      <c r="A34" s="4"/>
    </row>
    <row r="35" spans="1:11" x14ac:dyDescent="0.2">
      <c r="A35" s="4"/>
      <c r="B35" t="s">
        <v>234</v>
      </c>
      <c r="F35" s="159">
        <f>Consolidated!F35</f>
        <v>0.16666666666666666</v>
      </c>
      <c r="G35" s="160"/>
      <c r="H35" s="160"/>
      <c r="I35" s="160"/>
      <c r="J35" s="160"/>
      <c r="K35" s="160"/>
    </row>
    <row r="36" spans="1:11" x14ac:dyDescent="0.2">
      <c r="A36" s="4"/>
      <c r="B36" t="s">
        <v>233</v>
      </c>
      <c r="F36" s="159">
        <f>Consolidated!F36</f>
        <v>8.3333333333333329E-2</v>
      </c>
      <c r="G36" s="159">
        <f>Consolidated!G36</f>
        <v>0.66666666666666663</v>
      </c>
      <c r="H36" s="159">
        <f>Consolidated!H36</f>
        <v>1.6666666666666665</v>
      </c>
      <c r="I36" s="159">
        <f>Consolidated!I36</f>
        <v>2.6666666666666665</v>
      </c>
      <c r="J36" s="159">
        <f>Consolidated!J36</f>
        <v>3.6666666666666665</v>
      </c>
      <c r="K36" s="159">
        <f>Consolidated!K36</f>
        <v>4.6666666666666661</v>
      </c>
    </row>
    <row r="37" spans="1:11" x14ac:dyDescent="0.2">
      <c r="A37" s="4"/>
    </row>
    <row r="38" spans="1:11" x14ac:dyDescent="0.2">
      <c r="A38" s="4"/>
      <c r="B38" t="s">
        <v>235</v>
      </c>
      <c r="K38" s="37">
        <f>C49</f>
        <v>313466.92332981614</v>
      </c>
    </row>
    <row r="39" spans="1:11" x14ac:dyDescent="0.2">
      <c r="A39" s="4" t="s">
        <v>1</v>
      </c>
      <c r="B39" t="s">
        <v>236</v>
      </c>
      <c r="K39" s="37">
        <f>C50</f>
        <v>215775.75766282663</v>
      </c>
    </row>
    <row r="41" spans="1:11" x14ac:dyDescent="0.2">
      <c r="B41" s="129" t="s">
        <v>15</v>
      </c>
      <c r="K41" s="130">
        <f>SUM(F33:K33,K39)</f>
        <v>268765.97433817544</v>
      </c>
    </row>
    <row r="43" spans="1:11" x14ac:dyDescent="0.2">
      <c r="A43" s="4" t="s">
        <v>1</v>
      </c>
      <c r="B43" s="5" t="s">
        <v>235</v>
      </c>
      <c r="C43" s="93"/>
      <c r="D43" s="93"/>
      <c r="E43" s="93"/>
      <c r="F43" s="93"/>
      <c r="G43" s="93"/>
      <c r="H43" s="93"/>
      <c r="I43" s="93"/>
      <c r="J43" s="93"/>
      <c r="K43" s="93"/>
    </row>
    <row r="44" spans="1:11" ht="5" customHeight="1" x14ac:dyDescent="0.2">
      <c r="A44" s="4"/>
    </row>
    <row r="45" spans="1:11" x14ac:dyDescent="0.2">
      <c r="A45" s="4"/>
      <c r="B45" s="8" t="s">
        <v>15</v>
      </c>
      <c r="C45" s="8"/>
      <c r="E45" s="8" t="s">
        <v>277</v>
      </c>
      <c r="F45" s="8"/>
      <c r="G45" s="8"/>
      <c r="I45" s="8" t="s">
        <v>278</v>
      </c>
      <c r="J45" s="8"/>
      <c r="K45" s="8"/>
    </row>
    <row r="46" spans="1:11" x14ac:dyDescent="0.2">
      <c r="A46" s="4"/>
      <c r="B46" t="s">
        <v>279</v>
      </c>
      <c r="C46" s="224">
        <v>0.8</v>
      </c>
      <c r="E46" t="s">
        <v>273</v>
      </c>
      <c r="G46" s="218">
        <f>D6</f>
        <v>2.5000000000000001E-2</v>
      </c>
      <c r="I46" t="s">
        <v>276</v>
      </c>
      <c r="K46" s="14">
        <f>K15+K23</f>
        <v>22399.703224717407</v>
      </c>
    </row>
    <row r="47" spans="1:11" x14ac:dyDescent="0.2">
      <c r="A47" s="4"/>
      <c r="B47" t="s">
        <v>280</v>
      </c>
      <c r="C47" s="225">
        <f>1-C46</f>
        <v>0.19999999999999996</v>
      </c>
      <c r="E47" t="s">
        <v>235</v>
      </c>
      <c r="G47" s="13">
        <f>(K32*(1+G46))/(D5-G46)</f>
        <v>283049.71295518451</v>
      </c>
      <c r="I47" t="s">
        <v>270</v>
      </c>
      <c r="K47" s="226">
        <f>Comps!AC22</f>
        <v>19.425961159529265</v>
      </c>
    </row>
    <row r="48" spans="1:11" x14ac:dyDescent="0.2">
      <c r="A48" s="4"/>
      <c r="E48" s="3" t="s">
        <v>236</v>
      </c>
      <c r="F48" s="3"/>
      <c r="G48" s="219">
        <f>G47/(1+D5)^K36</f>
        <v>194837.99317764005</v>
      </c>
      <c r="I48" t="s">
        <v>235</v>
      </c>
      <c r="K48" s="14">
        <f>K46*K47</f>
        <v>435135.76482834277</v>
      </c>
    </row>
    <row r="49" spans="1:19" x14ac:dyDescent="0.2">
      <c r="A49" s="4"/>
      <c r="B49" t="s">
        <v>281</v>
      </c>
      <c r="C49" s="13">
        <f>C46*G47+C47*K48</f>
        <v>313466.92332981614</v>
      </c>
      <c r="E49" s="129" t="s">
        <v>272</v>
      </c>
      <c r="F49" s="129"/>
      <c r="G49" s="130">
        <f>SUM(F33:K33)+G48</f>
        <v>247828.20985298889</v>
      </c>
      <c r="I49" s="3" t="s">
        <v>236</v>
      </c>
      <c r="J49" s="3"/>
      <c r="K49" s="223">
        <f>K48/(1+$D$5)^K36</f>
        <v>299526.81560357305</v>
      </c>
    </row>
    <row r="50" spans="1:19" x14ac:dyDescent="0.2">
      <c r="A50" s="4"/>
      <c r="B50" t="s">
        <v>236</v>
      </c>
      <c r="C50" s="13">
        <f>C46*G48+C47*K49</f>
        <v>215775.75766282663</v>
      </c>
      <c r="I50" s="129" t="s">
        <v>272</v>
      </c>
      <c r="J50" s="129"/>
      <c r="K50" s="130">
        <f>SUM(F33:K33)+K49</f>
        <v>352517.03227892186</v>
      </c>
    </row>
    <row r="51" spans="1:19" x14ac:dyDescent="0.2">
      <c r="A51" s="4"/>
    </row>
    <row r="52" spans="1:19" x14ac:dyDescent="0.2">
      <c r="A52" s="4"/>
      <c r="E52" t="s">
        <v>274</v>
      </c>
      <c r="G52" s="221">
        <f>G48/G49</f>
        <v>0.78618165903396342</v>
      </c>
      <c r="I52" t="s">
        <v>274</v>
      </c>
      <c r="K52" s="221">
        <f>K49/K50</f>
        <v>0.84968040740391404</v>
      </c>
    </row>
    <row r="53" spans="1:19" x14ac:dyDescent="0.2">
      <c r="A53" s="4" t="s">
        <v>1</v>
      </c>
      <c r="E53" t="s">
        <v>275</v>
      </c>
      <c r="G53" s="222">
        <f>G49/(K15+K23)</f>
        <v>11.063905952982351</v>
      </c>
      <c r="I53" t="s">
        <v>271</v>
      </c>
      <c r="K53" s="220">
        <f>(($D$5-(K32/K48))/((1+(K32/K48))))</f>
        <v>4.4654573226112125E-2</v>
      </c>
    </row>
    <row r="55" spans="1:19" x14ac:dyDescent="0.2">
      <c r="M55" s="5" t="s">
        <v>356</v>
      </c>
      <c r="N55" s="93"/>
      <c r="O55" s="93"/>
      <c r="P55" s="93"/>
      <c r="Q55" s="93"/>
      <c r="R55" s="93"/>
      <c r="S55" s="93"/>
    </row>
    <row r="56" spans="1:19" ht="5" customHeight="1" x14ac:dyDescent="0.2"/>
    <row r="57" spans="1:19" x14ac:dyDescent="0.2">
      <c r="M57" s="233"/>
      <c r="N57" s="234"/>
      <c r="O57" s="234" t="s">
        <v>202</v>
      </c>
      <c r="P57" s="234"/>
      <c r="Q57" s="234"/>
      <c r="R57" s="234"/>
      <c r="S57" s="235"/>
    </row>
    <row r="58" spans="1:19" x14ac:dyDescent="0.2">
      <c r="M58" s="238"/>
      <c r="N58" s="243">
        <f>K41</f>
        <v>268765.97433817544</v>
      </c>
      <c r="O58" s="236">
        <f>P58+0.25%</f>
        <v>8.8315110625500834E-2</v>
      </c>
      <c r="P58" s="236">
        <f>Q58+0.25%</f>
        <v>8.5815110625500832E-2</v>
      </c>
      <c r="Q58" s="236">
        <v>8.3315110625500829E-2</v>
      </c>
      <c r="R58" s="236">
        <f>Q58-0.25%</f>
        <v>8.0815110625500827E-2</v>
      </c>
      <c r="S58" s="237">
        <f>R58-0.25%</f>
        <v>7.8315110625500825E-2</v>
      </c>
    </row>
    <row r="59" spans="1:19" x14ac:dyDescent="0.2">
      <c r="M59" s="238"/>
      <c r="N59" s="239">
        <f>N60-0.25%</f>
        <v>2.0000000000000004E-2</v>
      </c>
      <c r="O59" s="252">
        <f t="dataTable" ref="O59:S63" dt2D="1" dtr="1" r1="D5" r2="D6"/>
        <v>240541.93897239983</v>
      </c>
      <c r="P59" s="253">
        <v>247881.8068213705</v>
      </c>
      <c r="Q59" s="253">
        <v>255756.57621254068</v>
      </c>
      <c r="R59" s="253">
        <v>264231.25965576299</v>
      </c>
      <c r="S59" s="254">
        <v>273381.9972088568</v>
      </c>
    </row>
    <row r="60" spans="1:19" x14ac:dyDescent="0.2">
      <c r="M60" s="238"/>
      <c r="N60" s="239">
        <f>N61-0.25%</f>
        <v>2.2500000000000003E-2</v>
      </c>
      <c r="O60" s="255">
        <v>245794.12956920388</v>
      </c>
      <c r="P60" s="81">
        <v>253596.75201193028</v>
      </c>
      <c r="Q60" s="81">
        <v>261993.87877653097</v>
      </c>
      <c r="R60" s="81">
        <v>271060.96844007022</v>
      </c>
      <c r="S60" s="256">
        <v>280886.97696617886</v>
      </c>
    </row>
    <row r="61" spans="1:19" x14ac:dyDescent="0.2">
      <c r="M61" s="240" t="s">
        <v>231</v>
      </c>
      <c r="N61" s="239">
        <v>2.5000000000000001E-2</v>
      </c>
      <c r="O61" s="255">
        <v>251461.08613142418</v>
      </c>
      <c r="P61" s="81">
        <v>259781.55947288469</v>
      </c>
      <c r="Q61" s="81">
        <v>268765.97433817544</v>
      </c>
      <c r="R61" s="81">
        <v>278502.49261879036</v>
      </c>
      <c r="S61" s="256">
        <v>289095.78905820614</v>
      </c>
    </row>
    <row r="62" spans="1:19" x14ac:dyDescent="0.2">
      <c r="M62" s="238"/>
      <c r="N62" s="239">
        <f>N61+0.25%</f>
        <v>2.75E-2</v>
      </c>
      <c r="O62" s="255">
        <v>257593.9595113509</v>
      </c>
      <c r="P62" s="81">
        <v>266496.65894517332</v>
      </c>
      <c r="Q62" s="81">
        <v>276144.72421670228</v>
      </c>
      <c r="R62" s="81">
        <v>286641.89813841128</v>
      </c>
      <c r="S62" s="256">
        <v>298112.31483923085</v>
      </c>
    </row>
    <row r="63" spans="1:19" x14ac:dyDescent="0.2">
      <c r="M63" s="241"/>
      <c r="N63" s="242">
        <f>N62+0.25%</f>
        <v>0.03</v>
      </c>
      <c r="O63" s="257">
        <v>264252.6720189192</v>
      </c>
      <c r="P63" s="258">
        <v>273813.30694052624</v>
      </c>
      <c r="Q63" s="258">
        <v>284215.46833400661</v>
      </c>
      <c r="R63" s="258">
        <v>295582.18802288262</v>
      </c>
      <c r="S63" s="259">
        <v>308061.9364638016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D7B4-46B8-4087-872E-539793903809}">
  <dimension ref="A2:S63"/>
  <sheetViews>
    <sheetView showGridLines="0" zoomScale="150" zoomScaleNormal="150" workbookViewId="0"/>
  </sheetViews>
  <sheetFormatPr baseColWidth="10" defaultColWidth="8.83203125" defaultRowHeight="15" x14ac:dyDescent="0.2"/>
  <cols>
    <col min="1" max="1" width="3.5" customWidth="1"/>
    <col min="2" max="2" width="18.1640625" bestFit="1" customWidth="1"/>
    <col min="3" max="11" width="15.5" customWidth="1"/>
  </cols>
  <sheetData>
    <row r="2" spans="1:12" s="3" customFormat="1" ht="21" x14ac:dyDescent="0.25">
      <c r="B2" s="2" t="s">
        <v>268</v>
      </c>
    </row>
    <row r="4" spans="1:12" x14ac:dyDescent="0.2">
      <c r="B4" s="5" t="s">
        <v>12</v>
      </c>
      <c r="C4" s="93"/>
      <c r="D4" s="93"/>
    </row>
    <row r="5" spans="1:12" x14ac:dyDescent="0.2">
      <c r="B5" t="s">
        <v>202</v>
      </c>
      <c r="D5" s="114">
        <f>'Operating Model'!L10</f>
        <v>8.3315110625500829E-2</v>
      </c>
    </row>
    <row r="6" spans="1:12" x14ac:dyDescent="0.2">
      <c r="B6" t="s">
        <v>231</v>
      </c>
      <c r="D6" s="114">
        <f>'Operating Model'!L11</f>
        <v>2.5000000000000001E-2</v>
      </c>
    </row>
    <row r="8" spans="1:12" x14ac:dyDescent="0.2">
      <c r="A8" s="4" t="s">
        <v>1</v>
      </c>
      <c r="B8" s="5" t="s">
        <v>268</v>
      </c>
      <c r="C8" s="93"/>
      <c r="D8" s="93"/>
      <c r="E8" s="93"/>
      <c r="F8" s="93"/>
      <c r="G8" s="93"/>
      <c r="H8" s="93"/>
      <c r="I8" s="93"/>
      <c r="J8" s="93"/>
      <c r="K8" s="93"/>
    </row>
    <row r="9" spans="1:12" ht="5" customHeight="1" x14ac:dyDescent="0.2">
      <c r="A9" s="4"/>
    </row>
    <row r="10" spans="1:12" x14ac:dyDescent="0.2">
      <c r="A10" s="4" t="s">
        <v>1</v>
      </c>
      <c r="B10" s="8" t="s">
        <v>226</v>
      </c>
      <c r="C10" s="38">
        <v>2021</v>
      </c>
      <c r="D10" s="38">
        <f t="shared" ref="D10:K10" si="0">C10+1</f>
        <v>2022</v>
      </c>
      <c r="E10" s="38">
        <f t="shared" si="0"/>
        <v>2023</v>
      </c>
      <c r="F10" s="39">
        <f t="shared" si="0"/>
        <v>2024</v>
      </c>
      <c r="G10" s="39">
        <f t="shared" si="0"/>
        <v>2025</v>
      </c>
      <c r="H10" s="39">
        <f t="shared" si="0"/>
        <v>2026</v>
      </c>
      <c r="I10" s="39">
        <f t="shared" si="0"/>
        <v>2027</v>
      </c>
      <c r="J10" s="39">
        <f t="shared" si="0"/>
        <v>2028</v>
      </c>
      <c r="K10" s="39">
        <f t="shared" si="0"/>
        <v>2029</v>
      </c>
    </row>
    <row r="11" spans="1:12" ht="5" customHeight="1" x14ac:dyDescent="0.2">
      <c r="A11" s="4"/>
    </row>
    <row r="12" spans="1:12" x14ac:dyDescent="0.2">
      <c r="A12" s="4"/>
      <c r="B12" t="s">
        <v>29</v>
      </c>
      <c r="C12" s="102">
        <f>'Operating Model'!I25</f>
        <v>62202</v>
      </c>
      <c r="D12" s="102">
        <f>'Operating Model'!J25</f>
        <v>80096</v>
      </c>
      <c r="E12" s="102">
        <f>'Operating Model'!K25</f>
        <v>90757</v>
      </c>
      <c r="F12" s="102">
        <f>'Operating Model'!L25</f>
        <v>107555</v>
      </c>
      <c r="G12" s="102">
        <f>'Operating Model'!M25</f>
        <v>127628</v>
      </c>
      <c r="H12" s="102">
        <f>'Operating Model'!N25</f>
        <v>151647</v>
      </c>
      <c r="I12" s="102">
        <f>'Operating Model'!O25</f>
        <v>176580</v>
      </c>
      <c r="J12" s="102">
        <f>'Operating Model'!P25</f>
        <v>208724</v>
      </c>
      <c r="K12" s="102">
        <f>'Operating Model'!Q25</f>
        <v>249139</v>
      </c>
      <c r="L12" s="37"/>
    </row>
    <row r="13" spans="1:12" x14ac:dyDescent="0.2">
      <c r="A13" s="4"/>
      <c r="B13" s="45" t="s">
        <v>30</v>
      </c>
      <c r="C13" s="158">
        <f>'Operating Model'!I26</f>
        <v>0.37099404893101173</v>
      </c>
      <c r="D13" s="158">
        <f>'Operating Model'!J26</f>
        <v>0.28767563743931057</v>
      </c>
      <c r="E13" s="158">
        <f>'Operating Model'!K26</f>
        <v>0.13310277666799841</v>
      </c>
      <c r="F13" s="158">
        <f>'Operating Model'!L26</f>
        <v>0.18508765164119567</v>
      </c>
      <c r="G13" s="158">
        <f>'Operating Model'!M26</f>
        <v>0.18663009622983595</v>
      </c>
      <c r="H13" s="158">
        <f>'Operating Model'!N26</f>
        <v>0.1881953803240668</v>
      </c>
      <c r="I13" s="158">
        <f>'Operating Model'!O26</f>
        <v>0.16441472630516918</v>
      </c>
      <c r="J13" s="158">
        <f>'Operating Model'!P26</f>
        <v>0.1820364707214861</v>
      </c>
      <c r="K13" s="158">
        <f>'Operating Model'!Q26</f>
        <v>0.19362890707345581</v>
      </c>
      <c r="L13" s="109"/>
    </row>
    <row r="14" spans="1:12" x14ac:dyDescent="0.2">
      <c r="A14" s="4"/>
    </row>
    <row r="15" spans="1:12" x14ac:dyDescent="0.2">
      <c r="A15" s="4"/>
      <c r="B15" t="s">
        <v>32</v>
      </c>
      <c r="C15" s="102">
        <f>'Operating Model'!I42</f>
        <v>18532</v>
      </c>
      <c r="D15" s="102">
        <f>'Operating Model'!J42</f>
        <v>22841</v>
      </c>
      <c r="E15" s="102">
        <f>'Operating Model'!K42</f>
        <v>24631</v>
      </c>
      <c r="F15" s="102">
        <f>'Operating Model'!L42</f>
        <v>37271.5</v>
      </c>
      <c r="G15" s="102">
        <f>'Operating Model'!M42</f>
        <v>42816.2</v>
      </c>
      <c r="H15" s="102">
        <f>'Operating Model'!N42</f>
        <v>53907.1</v>
      </c>
      <c r="I15" s="102">
        <f>'Operating Model'!O42</f>
        <v>70418.5</v>
      </c>
      <c r="J15" s="102">
        <f>'Operating Model'!P42</f>
        <v>85067.5</v>
      </c>
      <c r="K15" s="102">
        <f>'Operating Model'!Q42</f>
        <v>102298</v>
      </c>
    </row>
    <row r="16" spans="1:12" x14ac:dyDescent="0.2">
      <c r="A16" s="4"/>
      <c r="B16" s="45" t="s">
        <v>31</v>
      </c>
      <c r="C16" s="158">
        <f>'Operating Model'!I43</f>
        <v>0.29793254236198191</v>
      </c>
      <c r="D16" s="158">
        <f>'Operating Model'!J43</f>
        <v>0.28517029564522572</v>
      </c>
      <c r="E16" s="158">
        <f>'Operating Model'!K43</f>
        <v>0.27139504390845887</v>
      </c>
      <c r="F16" s="158">
        <f>'Operating Model'!L43</f>
        <v>0.34653433127237226</v>
      </c>
      <c r="G16" s="158">
        <f>'Operating Model'!M43</f>
        <v>0.33547654119785625</v>
      </c>
      <c r="H16" s="158">
        <f>'Operating Model'!N43</f>
        <v>0.3554775234590859</v>
      </c>
      <c r="I16" s="158">
        <f>'Operating Model'!O43</f>
        <v>0.39879091629856156</v>
      </c>
      <c r="J16" s="158">
        <f>'Operating Model'!P43</f>
        <v>0.40755974396811101</v>
      </c>
      <c r="K16" s="158">
        <f>'Operating Model'!Q43</f>
        <v>0.41060612750312075</v>
      </c>
    </row>
    <row r="17" spans="1:11" x14ac:dyDescent="0.2">
      <c r="A17" s="4"/>
    </row>
    <row r="18" spans="1:11" x14ac:dyDescent="0.2">
      <c r="A18" s="4"/>
      <c r="B18" t="s">
        <v>34</v>
      </c>
      <c r="F18" s="13">
        <f>F19*F15</f>
        <v>6614.8077370940618</v>
      </c>
      <c r="G18" s="13">
        <f t="shared" ref="G18:K18" si="1">G19*G15</f>
        <v>6540.6901493623518</v>
      </c>
      <c r="H18" s="13">
        <f t="shared" si="1"/>
        <v>8697.867150435668</v>
      </c>
      <c r="I18" s="13">
        <f t="shared" si="1"/>
        <v>11991.672678913554</v>
      </c>
      <c r="J18" s="13">
        <f t="shared" si="1"/>
        <v>14486.273005154593</v>
      </c>
      <c r="K18" s="13">
        <f t="shared" si="1"/>
        <v>17025.876607878236</v>
      </c>
    </row>
    <row r="19" spans="1:11" x14ac:dyDescent="0.2">
      <c r="A19" s="4"/>
      <c r="B19" s="45" t="s">
        <v>35</v>
      </c>
      <c r="F19" s="158">
        <f>'Operating Model'!L52</f>
        <v>0.17747629521468311</v>
      </c>
      <c r="G19" s="158">
        <f>'Operating Model'!M52</f>
        <v>0.15276204215606132</v>
      </c>
      <c r="H19" s="158">
        <f>'Operating Model'!N52</f>
        <v>0.16134919427006217</v>
      </c>
      <c r="I19" s="158">
        <f>'Operating Model'!O52</f>
        <v>0.1702915097440808</v>
      </c>
      <c r="J19" s="158">
        <f>'Operating Model'!P52</f>
        <v>0.1702915097440808</v>
      </c>
      <c r="K19" s="158">
        <f>'Operating Model'!Q52</f>
        <v>0.16643411022579363</v>
      </c>
    </row>
    <row r="20" spans="1:11" x14ac:dyDescent="0.2">
      <c r="A20" s="4"/>
    </row>
    <row r="21" spans="1:11" x14ac:dyDescent="0.2">
      <c r="A21" s="4"/>
      <c r="B21" s="42" t="s">
        <v>225</v>
      </c>
      <c r="C21" s="43"/>
      <c r="D21" s="43"/>
      <c r="E21" s="43"/>
      <c r="F21" s="110">
        <f>F15-F18</f>
        <v>30656.692262905937</v>
      </c>
      <c r="G21" s="110">
        <f t="shared" ref="G21:K21" si="2">G15-G18</f>
        <v>36275.509850637645</v>
      </c>
      <c r="H21" s="110">
        <f t="shared" si="2"/>
        <v>45209.232849564331</v>
      </c>
      <c r="I21" s="110">
        <f t="shared" si="2"/>
        <v>58426.827321086443</v>
      </c>
      <c r="J21" s="110">
        <f t="shared" si="2"/>
        <v>70581.226994845405</v>
      </c>
      <c r="K21" s="44">
        <f t="shared" si="2"/>
        <v>85272.123392121764</v>
      </c>
    </row>
    <row r="22" spans="1:11" x14ac:dyDescent="0.2">
      <c r="A22" s="4"/>
    </row>
    <row r="23" spans="1:11" x14ac:dyDescent="0.2">
      <c r="A23" s="4"/>
      <c r="B23" t="s">
        <v>38</v>
      </c>
      <c r="C23" s="102">
        <f>'Operating Model'!I66</f>
        <v>15948.111571871317</v>
      </c>
      <c r="D23" s="102">
        <f>'Operating Model'!J66</f>
        <v>16610.969186326434</v>
      </c>
      <c r="E23" s="102">
        <f>'Operating Model'!K66</f>
        <v>20175.220942928041</v>
      </c>
      <c r="F23" s="102">
        <f>'Operating Model'!L66</f>
        <v>24597.106072990468</v>
      </c>
      <c r="G23" s="102">
        <f>'Operating Model'!M66</f>
        <v>28009.277861442701</v>
      </c>
      <c r="H23" s="102">
        <f>'Operating Model'!N66</f>
        <v>33890.724153058196</v>
      </c>
      <c r="I23" s="102">
        <f>'Operating Model'!O66</f>
        <v>39532.605399858847</v>
      </c>
      <c r="J23" s="102">
        <f>'Operating Model'!P66</f>
        <v>46394.049540512453</v>
      </c>
      <c r="K23" s="102">
        <f>'Operating Model'!Q66</f>
        <v>55610.999153529621</v>
      </c>
    </row>
    <row r="24" spans="1:11" x14ac:dyDescent="0.2">
      <c r="A24" s="4"/>
      <c r="B24" s="45" t="s">
        <v>31</v>
      </c>
      <c r="C24" s="158">
        <f>'Operating Model'!I69</f>
        <v>0.25639226346212851</v>
      </c>
      <c r="D24" s="158">
        <f>'Operating Model'!J69</f>
        <v>0.20738824893036401</v>
      </c>
      <c r="E24" s="158">
        <f>'Operating Model'!K69</f>
        <v>0.22229933716328262</v>
      </c>
      <c r="F24" s="158">
        <f>'Operating Model'!L69</f>
        <v>0.22869328318525839</v>
      </c>
      <c r="G24" s="158">
        <f>'Operating Model'!M69</f>
        <v>0.21946028975963502</v>
      </c>
      <c r="H24" s="158">
        <f>'Operating Model'!N69</f>
        <v>0.22348430336939204</v>
      </c>
      <c r="I24" s="158">
        <f>'Operating Model'!O69</f>
        <v>0.22387929210476185</v>
      </c>
      <c r="J24" s="158">
        <f>'Operating Model'!P69</f>
        <v>0.22227462841126297</v>
      </c>
      <c r="K24" s="158">
        <f>'Operating Model'!Q69</f>
        <v>0.22321274129513893</v>
      </c>
    </row>
    <row r="25" spans="1:11" x14ac:dyDescent="0.2">
      <c r="A25" s="4"/>
    </row>
    <row r="26" spans="1:11" x14ac:dyDescent="0.2">
      <c r="A26" s="4"/>
      <c r="B26" t="s">
        <v>40</v>
      </c>
      <c r="C26" s="102">
        <f>'Operating Model'!I91</f>
        <v>19311.012309369755</v>
      </c>
      <c r="D26" s="102">
        <f>'Operating Model'!J91</f>
        <v>30378.808815436474</v>
      </c>
      <c r="E26" s="102">
        <f>'Operating Model'!K91</f>
        <v>28161.203607360905</v>
      </c>
      <c r="F26" s="102">
        <f>'Operating Model'!L91</f>
        <v>35852.698704949667</v>
      </c>
      <c r="G26" s="102">
        <f>'Operating Model'!M91</f>
        <v>43517.543011057955</v>
      </c>
      <c r="H26" s="102">
        <f>'Operating Model'!N91</f>
        <v>49770.901341347315</v>
      </c>
      <c r="I26" s="102">
        <f>'Operating Model'!O91</f>
        <v>59008.152378989944</v>
      </c>
      <c r="J26" s="102">
        <f>'Operating Model'!P91</f>
        <v>69807.494420239484</v>
      </c>
      <c r="K26" s="102">
        <f>'Operating Model'!Q91</f>
        <v>82782.537092721395</v>
      </c>
    </row>
    <row r="27" spans="1:11" x14ac:dyDescent="0.2">
      <c r="A27" s="4"/>
      <c r="B27" s="45" t="s">
        <v>31</v>
      </c>
      <c r="C27" s="158">
        <f>'Operating Model'!I94</f>
        <v>0.31045645331934268</v>
      </c>
      <c r="D27" s="158">
        <f>'Operating Model'!J94</f>
        <v>0.37927997422388726</v>
      </c>
      <c r="E27" s="158">
        <f>'Operating Model'!K94</f>
        <v>0.31029235879723771</v>
      </c>
      <c r="F27" s="158">
        <f>'Operating Model'!L94</f>
        <v>0.33334292878015592</v>
      </c>
      <c r="G27" s="158">
        <f>'Operating Model'!M94</f>
        <v>0.34097175393376028</v>
      </c>
      <c r="H27" s="158">
        <f>'Operating Model'!N94</f>
        <v>0.3282023471703846</v>
      </c>
      <c r="I27" s="158">
        <f>'Operating Model'!O94</f>
        <v>0.33417234329476692</v>
      </c>
      <c r="J27" s="158">
        <f>'Operating Model'!P94</f>
        <v>0.33444881479963723</v>
      </c>
      <c r="K27" s="158">
        <f>'Operating Model'!Q94</f>
        <v>0.33227450175492956</v>
      </c>
    </row>
    <row r="28" spans="1:11" x14ac:dyDescent="0.2">
      <c r="A28" s="4"/>
    </row>
    <row r="29" spans="1:11" x14ac:dyDescent="0.2">
      <c r="A29" s="4"/>
      <c r="B29" t="s">
        <v>223</v>
      </c>
      <c r="C29" s="102">
        <f>'Operating Model'!I113</f>
        <v>-2596.3948516672272</v>
      </c>
      <c r="D29" s="102">
        <f>'Operating Model'!J113</f>
        <v>-3254.7478340723333</v>
      </c>
      <c r="E29" s="102">
        <f>'Operating Model'!K113</f>
        <v>-1822.2927477230619</v>
      </c>
      <c r="F29" s="102">
        <f>'Operating Model'!L113</f>
        <v>-3673.2089539065269</v>
      </c>
      <c r="G29" s="102">
        <f>'Operating Model'!M113</f>
        <v>-4035.8657977344478</v>
      </c>
      <c r="H29" s="102">
        <f>'Operating Model'!N113</f>
        <v>-4339.7745978317344</v>
      </c>
      <c r="I29" s="102">
        <f>'Operating Model'!O113</f>
        <v>-5555.8910551953386</v>
      </c>
      <c r="J29" s="102">
        <f>'Operating Model'!P113</f>
        <v>-6380.2465413638874</v>
      </c>
      <c r="K29" s="102">
        <f>'Operating Model'!Q113</f>
        <v>-7528.0958781398112</v>
      </c>
    </row>
    <row r="30" spans="1:11" x14ac:dyDescent="0.2">
      <c r="A30" s="4"/>
      <c r="B30" s="45" t="s">
        <v>31</v>
      </c>
      <c r="C30" s="158">
        <f>'Operating Model'!I114</f>
        <v>-4.1741340337404377E-2</v>
      </c>
      <c r="D30" s="158">
        <f>'Operating Model'!J114</f>
        <v>-4.0635585223635806E-2</v>
      </c>
      <c r="E30" s="158">
        <f>'Operating Model'!K114</f>
        <v>-2.0078812077559439E-2</v>
      </c>
      <c r="F30" s="158">
        <f>'Operating Model'!L114</f>
        <v>-3.415191254619987E-2</v>
      </c>
      <c r="G30" s="158">
        <f>'Operating Model'!M114</f>
        <v>-3.1622103282465036E-2</v>
      </c>
      <c r="H30" s="158">
        <f>'Operating Model'!N114</f>
        <v>-2.8617609302074781E-2</v>
      </c>
      <c r="I30" s="158">
        <f>'Operating Model'!O114</f>
        <v>-3.1463875043579899E-2</v>
      </c>
      <c r="J30" s="158">
        <f>'Operating Model'!P114</f>
        <v>-3.0567862542706575E-2</v>
      </c>
      <c r="K30" s="158">
        <f>'Operating Model'!Q114</f>
        <v>-3.0216448962787083E-2</v>
      </c>
    </row>
    <row r="31" spans="1:11" x14ac:dyDescent="0.2">
      <c r="A31" s="4"/>
    </row>
    <row r="32" spans="1:11" x14ac:dyDescent="0.2">
      <c r="A32" s="4"/>
      <c r="B32" s="117" t="s">
        <v>227</v>
      </c>
      <c r="C32" s="118"/>
      <c r="D32" s="118"/>
      <c r="E32" s="118"/>
      <c r="F32" s="119">
        <f>F21+F23-F26-F29</f>
        <v>23074.308584853265</v>
      </c>
      <c r="G32" s="119">
        <f t="shared" ref="G32:K32" si="3">G21+G23-G26-G29</f>
        <v>24803.11049875684</v>
      </c>
      <c r="H32" s="119">
        <f t="shared" si="3"/>
        <v>33668.830259106944</v>
      </c>
      <c r="I32" s="119">
        <f t="shared" si="3"/>
        <v>44507.171397150683</v>
      </c>
      <c r="J32" s="119">
        <f t="shared" si="3"/>
        <v>53548.02865648226</v>
      </c>
      <c r="K32" s="120">
        <f t="shared" si="3"/>
        <v>65628.681331069805</v>
      </c>
    </row>
    <row r="33" spans="1:11" x14ac:dyDescent="0.2">
      <c r="A33" s="4" t="s">
        <v>1</v>
      </c>
      <c r="B33" s="121" t="s">
        <v>232</v>
      </c>
      <c r="C33" s="122"/>
      <c r="D33" s="122"/>
      <c r="E33" s="122"/>
      <c r="F33" s="123">
        <f>(F32*F35)/(1+$D$5)^F36</f>
        <v>3820.1570067259499</v>
      </c>
      <c r="G33" s="123">
        <f>G32/(1+$D$5)^G36</f>
        <v>23514.528815823691</v>
      </c>
      <c r="H33" s="123">
        <f t="shared" ref="H33:K33" si="4">H32/(1+$D$5)^H36</f>
        <v>29464.790661407453</v>
      </c>
      <c r="I33" s="123">
        <f t="shared" si="4"/>
        <v>35954.274091572981</v>
      </c>
      <c r="J33" s="123">
        <f t="shared" si="4"/>
        <v>39930.910863327445</v>
      </c>
      <c r="K33" s="124">
        <f t="shared" si="4"/>
        <v>45175.67049243064</v>
      </c>
    </row>
    <row r="34" spans="1:11" x14ac:dyDescent="0.2">
      <c r="A34" s="4"/>
    </row>
    <row r="35" spans="1:11" x14ac:dyDescent="0.2">
      <c r="A35" s="4"/>
      <c r="B35" t="s">
        <v>234</v>
      </c>
      <c r="F35" s="159">
        <f>Consolidated!F35</f>
        <v>0.16666666666666666</v>
      </c>
      <c r="G35" s="160"/>
      <c r="H35" s="160"/>
      <c r="I35" s="160"/>
      <c r="J35" s="160"/>
      <c r="K35" s="160"/>
    </row>
    <row r="36" spans="1:11" x14ac:dyDescent="0.2">
      <c r="A36" s="4"/>
      <c r="B36" t="s">
        <v>233</v>
      </c>
      <c r="F36" s="159">
        <f>Consolidated!F36</f>
        <v>8.3333333333333329E-2</v>
      </c>
      <c r="G36" s="159">
        <f>Consolidated!G36</f>
        <v>0.66666666666666663</v>
      </c>
      <c r="H36" s="159">
        <f>Consolidated!H36</f>
        <v>1.6666666666666665</v>
      </c>
      <c r="I36" s="159">
        <f>Consolidated!I36</f>
        <v>2.6666666666666665</v>
      </c>
      <c r="J36" s="159">
        <f>Consolidated!J36</f>
        <v>3.6666666666666665</v>
      </c>
      <c r="K36" s="159">
        <f>Consolidated!K36</f>
        <v>4.6666666666666661</v>
      </c>
    </row>
    <row r="37" spans="1:11" x14ac:dyDescent="0.2">
      <c r="A37" s="4"/>
    </row>
    <row r="38" spans="1:11" x14ac:dyDescent="0.2">
      <c r="A38" s="4"/>
      <c r="B38" t="s">
        <v>235</v>
      </c>
      <c r="K38" s="37">
        <f>C49</f>
        <v>1536346.851187303</v>
      </c>
    </row>
    <row r="39" spans="1:11" x14ac:dyDescent="0.2">
      <c r="A39" s="4" t="s">
        <v>1</v>
      </c>
      <c r="B39" t="s">
        <v>236</v>
      </c>
      <c r="K39" s="37">
        <f>C50</f>
        <v>1057548.2807767943</v>
      </c>
    </row>
    <row r="41" spans="1:11" x14ac:dyDescent="0.2">
      <c r="B41" s="129" t="s">
        <v>15</v>
      </c>
      <c r="K41" s="130">
        <f>SUM(F33:K33,K39)</f>
        <v>1235408.6127080824</v>
      </c>
    </row>
    <row r="43" spans="1:11" x14ac:dyDescent="0.2">
      <c r="A43" s="4" t="s">
        <v>1</v>
      </c>
      <c r="B43" s="5" t="s">
        <v>235</v>
      </c>
      <c r="C43" s="93"/>
      <c r="D43" s="93"/>
      <c r="E43" s="93"/>
      <c r="F43" s="93"/>
      <c r="G43" s="93"/>
      <c r="H43" s="93"/>
      <c r="I43" s="93"/>
      <c r="J43" s="93"/>
      <c r="K43" s="93"/>
    </row>
    <row r="44" spans="1:11" ht="5" customHeight="1" x14ac:dyDescent="0.2">
      <c r="A44" s="4"/>
    </row>
    <row r="45" spans="1:11" x14ac:dyDescent="0.2">
      <c r="A45" s="4"/>
      <c r="B45" s="8" t="s">
        <v>15</v>
      </c>
      <c r="C45" s="8"/>
      <c r="E45" s="8" t="s">
        <v>277</v>
      </c>
      <c r="F45" s="8"/>
      <c r="G45" s="8"/>
      <c r="I45" s="8" t="s">
        <v>278</v>
      </c>
      <c r="J45" s="8"/>
      <c r="K45" s="8"/>
    </row>
    <row r="46" spans="1:11" x14ac:dyDescent="0.2">
      <c r="A46" s="4"/>
      <c r="B46" t="s">
        <v>279</v>
      </c>
      <c r="C46" s="224">
        <v>0.8</v>
      </c>
      <c r="E46" t="s">
        <v>273</v>
      </c>
      <c r="G46" s="218">
        <f>D6</f>
        <v>2.5000000000000001E-2</v>
      </c>
      <c r="I46" t="s">
        <v>276</v>
      </c>
      <c r="K46" s="14">
        <f>K15+K23</f>
        <v>157908.99915352961</v>
      </c>
    </row>
    <row r="47" spans="1:11" x14ac:dyDescent="0.2">
      <c r="A47" s="4"/>
      <c r="B47" t="s">
        <v>280</v>
      </c>
      <c r="C47" s="225">
        <f>1-C46</f>
        <v>0.19999999999999996</v>
      </c>
      <c r="E47" t="s">
        <v>235</v>
      </c>
      <c r="G47" s="13">
        <f>(K32*(1+G46))/(D5-G46)</f>
        <v>1153550.0429099773</v>
      </c>
      <c r="I47" t="s">
        <v>270</v>
      </c>
      <c r="K47" s="226">
        <f>Comps!AC22</f>
        <v>19.425961159529265</v>
      </c>
    </row>
    <row r="48" spans="1:11" x14ac:dyDescent="0.2">
      <c r="A48" s="4"/>
      <c r="E48" s="3" t="s">
        <v>236</v>
      </c>
      <c r="F48" s="3"/>
      <c r="G48" s="219">
        <f>G47/(1+D5)^K36</f>
        <v>794049.11965463194</v>
      </c>
      <c r="I48" t="s">
        <v>235</v>
      </c>
      <c r="K48" s="14">
        <f>K46*K47</f>
        <v>3067534.084296606</v>
      </c>
    </row>
    <row r="49" spans="1:19" x14ac:dyDescent="0.2">
      <c r="A49" s="4"/>
      <c r="B49" t="s">
        <v>281</v>
      </c>
      <c r="C49" s="13">
        <f>C46*G47+C47*K48</f>
        <v>1536346.851187303</v>
      </c>
      <c r="E49" s="129" t="s">
        <v>272</v>
      </c>
      <c r="F49" s="129"/>
      <c r="G49" s="130">
        <f>SUM(F33:K33)+G48</f>
        <v>971909.45158592006</v>
      </c>
      <c r="I49" s="3" t="s">
        <v>236</v>
      </c>
      <c r="J49" s="3"/>
      <c r="K49" s="223">
        <f>K48/(1+$D$5)^K36</f>
        <v>2111544.925265444</v>
      </c>
    </row>
    <row r="50" spans="1:19" x14ac:dyDescent="0.2">
      <c r="A50" s="4"/>
      <c r="B50" t="s">
        <v>236</v>
      </c>
      <c r="C50" s="13">
        <f>C46*G48+C47*K49</f>
        <v>1057548.2807767943</v>
      </c>
      <c r="I50" s="129" t="s">
        <v>272</v>
      </c>
      <c r="J50" s="129"/>
      <c r="K50" s="130">
        <f>SUM(F33:K33)+K49</f>
        <v>2289405.2571967323</v>
      </c>
    </row>
    <row r="51" spans="1:19" x14ac:dyDescent="0.2">
      <c r="A51" s="4"/>
    </row>
    <row r="52" spans="1:19" x14ac:dyDescent="0.2">
      <c r="A52" s="4"/>
      <c r="E52" t="s">
        <v>274</v>
      </c>
      <c r="G52" s="221">
        <f>G48/G49</f>
        <v>0.81699907163052765</v>
      </c>
      <c r="I52" t="s">
        <v>274</v>
      </c>
      <c r="K52" s="221">
        <f>K49/K50</f>
        <v>0.92231155608113269</v>
      </c>
    </row>
    <row r="53" spans="1:19" x14ac:dyDescent="0.2">
      <c r="A53" s="4" t="s">
        <v>1</v>
      </c>
      <c r="E53" t="s">
        <v>275</v>
      </c>
      <c r="G53" s="222">
        <f>G49/(K15+K23)</f>
        <v>6.1548705697321608</v>
      </c>
      <c r="I53" t="s">
        <v>271</v>
      </c>
      <c r="K53" s="220">
        <f>(($D$5-(K32/K48))/((1+(K32/K48))))</f>
        <v>6.0623489572060082E-2</v>
      </c>
    </row>
    <row r="55" spans="1:19" x14ac:dyDescent="0.2">
      <c r="M55" s="5" t="s">
        <v>356</v>
      </c>
      <c r="N55" s="93"/>
      <c r="O55" s="93"/>
      <c r="P55" s="93"/>
      <c r="Q55" s="93"/>
      <c r="R55" s="93"/>
      <c r="S55" s="93"/>
    </row>
    <row r="56" spans="1:19" ht="5" customHeight="1" x14ac:dyDescent="0.2"/>
    <row r="57" spans="1:19" x14ac:dyDescent="0.2">
      <c r="M57" s="233"/>
      <c r="N57" s="234"/>
      <c r="O57" s="234" t="s">
        <v>202</v>
      </c>
      <c r="P57" s="234"/>
      <c r="Q57" s="234"/>
      <c r="R57" s="234"/>
      <c r="S57" s="235"/>
    </row>
    <row r="58" spans="1:19" x14ac:dyDescent="0.2">
      <c r="M58" s="238"/>
      <c r="N58" s="243">
        <f>K41</f>
        <v>1235408.6127080824</v>
      </c>
      <c r="O58" s="236">
        <f>P58+0.25%</f>
        <v>8.8315110625500834E-2</v>
      </c>
      <c r="P58" s="236">
        <f>Q58+0.25%</f>
        <v>8.5815110625500832E-2</v>
      </c>
      <c r="Q58" s="236">
        <v>8.3315110625500829E-2</v>
      </c>
      <c r="R58" s="236">
        <f>Q58-0.25%</f>
        <v>8.0815110625500827E-2</v>
      </c>
      <c r="S58" s="237">
        <f>R58-0.25%</f>
        <v>7.8315110625500825E-2</v>
      </c>
    </row>
    <row r="59" spans="1:19" x14ac:dyDescent="0.2">
      <c r="M59" s="238"/>
      <c r="N59" s="239">
        <f>N60-0.25%</f>
        <v>2.0000000000000004E-2</v>
      </c>
      <c r="O59" s="252">
        <f t="dataTable" ref="O59:S63" dt2D="1" dtr="1" r1="D5" r2="D6"/>
        <v>1116959.8661318033</v>
      </c>
      <c r="P59" s="253">
        <v>1148573.1680021018</v>
      </c>
      <c r="Q59" s="253">
        <v>1182389.6867767388</v>
      </c>
      <c r="R59" s="253">
        <v>1218674.7435391864</v>
      </c>
      <c r="S59" s="254">
        <v>1257739.0155637364</v>
      </c>
    </row>
    <row r="60" spans="1:19" x14ac:dyDescent="0.2">
      <c r="M60" s="238"/>
      <c r="N60" s="239">
        <f>N61-0.25%</f>
        <v>2.2500000000000003E-2</v>
      </c>
      <c r="O60" s="255">
        <v>1138364.815195553</v>
      </c>
      <c r="P60" s="81">
        <v>1171864.0422480763</v>
      </c>
      <c r="Q60" s="81">
        <v>1207809.3933194997</v>
      </c>
      <c r="R60" s="81">
        <v>1246508.7617367168</v>
      </c>
      <c r="S60" s="256">
        <v>1288325.0551350543</v>
      </c>
    </row>
    <row r="61" spans="1:19" x14ac:dyDescent="0.2">
      <c r="M61" s="240" t="s">
        <v>231</v>
      </c>
      <c r="N61" s="239">
        <v>2.5000000000000001E-2</v>
      </c>
      <c r="O61" s="255">
        <v>1161460.1150185675</v>
      </c>
      <c r="P61" s="81">
        <v>1197069.8085337447</v>
      </c>
      <c r="Q61" s="81">
        <v>1235408.6127080824</v>
      </c>
      <c r="R61" s="81">
        <v>1276836.1923709156</v>
      </c>
      <c r="S61" s="256">
        <v>1321779.5159862379</v>
      </c>
    </row>
    <row r="62" spans="1:19" x14ac:dyDescent="0.2">
      <c r="M62" s="238"/>
      <c r="N62" s="239">
        <f>N61+0.25%</f>
        <v>2.75E-2</v>
      </c>
      <c r="O62" s="255">
        <v>1186454.2274545552</v>
      </c>
      <c r="P62" s="81">
        <v>1224436.7441986105</v>
      </c>
      <c r="Q62" s="81">
        <v>1265480.2109094355</v>
      </c>
      <c r="R62" s="81">
        <v>1310007.7914105055</v>
      </c>
      <c r="S62" s="256">
        <v>1358525.7595807218</v>
      </c>
    </row>
    <row r="63" spans="1:19" x14ac:dyDescent="0.2">
      <c r="M63" s="241"/>
      <c r="N63" s="242">
        <f>N62+0.25%</f>
        <v>0.03</v>
      </c>
      <c r="O63" s="257">
        <v>1213591.3618421345</v>
      </c>
      <c r="P63" s="258">
        <v>1254255.250357396</v>
      </c>
      <c r="Q63" s="258">
        <v>1298371.9850279484</v>
      </c>
      <c r="R63" s="258">
        <v>1346443.3407427615</v>
      </c>
      <c r="S63" s="259">
        <v>1399074.7724453944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B51-8C7E-4230-8FA4-24888184E592}">
  <dimension ref="A2:K36"/>
  <sheetViews>
    <sheetView showGridLines="0" zoomScale="145" zoomScaleNormal="145" workbookViewId="0"/>
  </sheetViews>
  <sheetFormatPr baseColWidth="10" defaultColWidth="8.83203125" defaultRowHeight="15" x14ac:dyDescent="0.2"/>
  <cols>
    <col min="1" max="1" width="3.5" customWidth="1"/>
    <col min="4" max="4" width="12.5" bestFit="1" customWidth="1"/>
    <col min="5" max="5" width="10.83203125" bestFit="1" customWidth="1"/>
    <col min="6" max="6" width="12.5" customWidth="1"/>
    <col min="7" max="7" width="10.6640625" bestFit="1" customWidth="1"/>
    <col min="10" max="10" width="15" bestFit="1" customWidth="1"/>
  </cols>
  <sheetData>
    <row r="2" spans="1:8" s="3" customFormat="1" ht="21" x14ac:dyDescent="0.25">
      <c r="B2" s="2" t="s">
        <v>202</v>
      </c>
    </row>
    <row r="4" spans="1:8" x14ac:dyDescent="0.2">
      <c r="B4" t="s">
        <v>203</v>
      </c>
    </row>
    <row r="5" spans="1:8" x14ac:dyDescent="0.2">
      <c r="B5" t="s">
        <v>204</v>
      </c>
    </row>
    <row r="7" spans="1:8" x14ac:dyDescent="0.2">
      <c r="A7" t="s">
        <v>1</v>
      </c>
      <c r="B7" s="79" t="s">
        <v>202</v>
      </c>
      <c r="C7" s="80"/>
      <c r="D7" s="80"/>
      <c r="E7" s="80"/>
      <c r="F7" s="80"/>
    </row>
    <row r="8" spans="1:8" x14ac:dyDescent="0.2">
      <c r="B8" t="s">
        <v>205</v>
      </c>
      <c r="F8" s="81">
        <f>Comps!F12*Shares!E14</f>
        <v>2029800.36200103</v>
      </c>
    </row>
    <row r="9" spans="1:8" x14ac:dyDescent="0.2">
      <c r="B9" t="s">
        <v>206</v>
      </c>
      <c r="F9" s="82">
        <f>F8/$F$20</f>
        <v>0.97367041776079588</v>
      </c>
    </row>
    <row r="10" spans="1:8" x14ac:dyDescent="0.2">
      <c r="B10" t="s">
        <v>207</v>
      </c>
      <c r="F10" s="83">
        <f>F11+F12*F13</f>
        <v>8.4568800248757112E-2</v>
      </c>
    </row>
    <row r="11" spans="1:8" x14ac:dyDescent="0.2">
      <c r="B11" t="s">
        <v>208</v>
      </c>
      <c r="F11" s="84">
        <v>3.909E-2</v>
      </c>
    </row>
    <row r="12" spans="1:8" x14ac:dyDescent="0.2">
      <c r="B12" t="s">
        <v>209</v>
      </c>
      <c r="F12" s="231">
        <f>E33</f>
        <v>1.1201674938117516</v>
      </c>
    </row>
    <row r="13" spans="1:8" x14ac:dyDescent="0.2">
      <c r="B13" t="s">
        <v>210</v>
      </c>
      <c r="F13" s="84">
        <v>4.0599999999999997E-2</v>
      </c>
      <c r="H13" s="85"/>
    </row>
    <row r="15" spans="1:8" x14ac:dyDescent="0.2">
      <c r="B15" t="s">
        <v>14</v>
      </c>
      <c r="F15" s="86">
        <v>54889</v>
      </c>
    </row>
    <row r="16" spans="1:8" x14ac:dyDescent="0.2">
      <c r="B16" t="s">
        <v>211</v>
      </c>
      <c r="F16" s="82">
        <f>F15/$F$20</f>
        <v>2.6329582239204077E-2</v>
      </c>
    </row>
    <row r="17" spans="1:11" x14ac:dyDescent="0.2">
      <c r="B17" t="s">
        <v>212</v>
      </c>
      <c r="F17" s="84">
        <f>1233*2/F15</f>
        <v>4.4927034560658781E-2</v>
      </c>
      <c r="G17" s="111"/>
    </row>
    <row r="18" spans="1:11" x14ac:dyDescent="0.2">
      <c r="B18" t="s">
        <v>213</v>
      </c>
      <c r="F18" s="84">
        <f>'Operating Model'!L52</f>
        <v>0.17747629521468311</v>
      </c>
    </row>
    <row r="20" spans="1:11" x14ac:dyDescent="0.2">
      <c r="B20" t="s">
        <v>16</v>
      </c>
      <c r="F20" s="81">
        <f>F8+F15</f>
        <v>2084689.36200103</v>
      </c>
    </row>
    <row r="22" spans="1:11" x14ac:dyDescent="0.2">
      <c r="A22" t="s">
        <v>1</v>
      </c>
      <c r="B22" t="s">
        <v>202</v>
      </c>
      <c r="F22" s="83">
        <f>F9*F10+(F16*F17*(1-F18))</f>
        <v>8.3315110625500829E-2</v>
      </c>
    </row>
    <row r="25" spans="1:11" x14ac:dyDescent="0.2">
      <c r="B25" s="79" t="s">
        <v>209</v>
      </c>
      <c r="C25" s="79"/>
      <c r="D25" s="79"/>
      <c r="E25" s="79"/>
      <c r="F25" s="79"/>
      <c r="G25" s="79"/>
      <c r="H25" s="79"/>
      <c r="I25" s="79"/>
    </row>
    <row r="26" spans="1:11" ht="5" customHeight="1" x14ac:dyDescent="0.2">
      <c r="H26" s="173"/>
    </row>
    <row r="27" spans="1:11" ht="16" x14ac:dyDescent="0.2">
      <c r="B27" s="8"/>
      <c r="C27" s="8"/>
      <c r="D27" s="8" t="s">
        <v>292</v>
      </c>
      <c r="E27" s="8" t="s">
        <v>205</v>
      </c>
      <c r="F27" s="229" t="s">
        <v>290</v>
      </c>
      <c r="G27" s="174" t="s">
        <v>291</v>
      </c>
      <c r="H27" s="8"/>
      <c r="I27" s="174" t="s">
        <v>293</v>
      </c>
      <c r="K27" t="s">
        <v>352</v>
      </c>
    </row>
    <row r="28" spans="1:11" x14ac:dyDescent="0.2">
      <c r="B28" s="175" t="s">
        <v>336</v>
      </c>
      <c r="C28" s="175"/>
      <c r="D28" s="227">
        <v>0.99</v>
      </c>
      <c r="E28" s="228">
        <f>Comps!D14</f>
        <v>3498463.5</v>
      </c>
      <c r="F28" s="230">
        <f>2994+12114+86196-25565-36236</f>
        <v>39503</v>
      </c>
      <c r="G28" s="84">
        <v>0.158</v>
      </c>
      <c r="I28" s="176">
        <f>(D28/(1+(1-G28)*(F28/E28)))</f>
        <v>0.98067625296488747</v>
      </c>
      <c r="K28" t="s">
        <v>354</v>
      </c>
    </row>
    <row r="29" spans="1:11" x14ac:dyDescent="0.2">
      <c r="B29" s="175" t="s">
        <v>340</v>
      </c>
      <c r="C29" s="175"/>
      <c r="D29" s="227">
        <v>1.23</v>
      </c>
      <c r="E29" s="228">
        <f>Comps!D16</f>
        <v>3041094.8</v>
      </c>
      <c r="F29" s="230">
        <f>2249+42868-20840-57588</f>
        <v>-33311</v>
      </c>
      <c r="G29" s="84">
        <v>0.19</v>
      </c>
      <c r="I29" s="176">
        <f>(D29/(1+(1-G29)*(F29/E29)))</f>
        <v>1.2410107851003551</v>
      </c>
    </row>
    <row r="30" spans="1:11" x14ac:dyDescent="0.2">
      <c r="B30" s="175" t="s">
        <v>342</v>
      </c>
      <c r="C30" s="175"/>
      <c r="D30" s="227">
        <v>1.1399999999999999</v>
      </c>
      <c r="E30" s="228">
        <f>Comps!D17</f>
        <v>2113086</v>
      </c>
      <c r="F30" s="230">
        <f>13253-24048-86868</f>
        <v>-97663</v>
      </c>
      <c r="G30" s="84">
        <v>0.16</v>
      </c>
      <c r="I30" s="176">
        <f>(D30/(1+(1-G30)*(F30/E30)))</f>
        <v>1.1860461983518389</v>
      </c>
    </row>
    <row r="31" spans="1:11" x14ac:dyDescent="0.2">
      <c r="B31" s="175"/>
      <c r="C31" s="175"/>
      <c r="D31" s="176"/>
      <c r="E31" s="175"/>
      <c r="F31" s="175"/>
      <c r="G31" s="126"/>
      <c r="H31" s="126"/>
      <c r="I31" s="126"/>
    </row>
    <row r="32" spans="1:11" x14ac:dyDescent="0.2">
      <c r="B32" s="175" t="s">
        <v>353</v>
      </c>
      <c r="C32" s="175"/>
      <c r="D32" s="176"/>
      <c r="E32" s="176">
        <f>AVERAGE(I28:I30)</f>
        <v>1.1359110788056939</v>
      </c>
      <c r="F32" s="175"/>
      <c r="G32" s="175"/>
      <c r="H32" s="175"/>
      <c r="I32" s="175"/>
      <c r="J32" s="177"/>
    </row>
    <row r="33" spans="2:10" x14ac:dyDescent="0.2">
      <c r="B33" s="178" t="s">
        <v>294</v>
      </c>
      <c r="C33" s="175"/>
      <c r="E33" s="179">
        <f>E32*(1+(1-F18)*((Consolidated!K43-Consolidated!K42)/F8))</f>
        <v>1.1201674938117516</v>
      </c>
      <c r="F33" s="175"/>
      <c r="G33" s="175"/>
      <c r="H33" s="175"/>
      <c r="I33" s="175"/>
      <c r="J33" s="175"/>
    </row>
    <row r="34" spans="2:10" x14ac:dyDescent="0.2">
      <c r="J34" s="175"/>
    </row>
    <row r="35" spans="2:10" x14ac:dyDescent="0.2">
      <c r="B35" s="8" t="s">
        <v>355</v>
      </c>
      <c r="C35" s="8"/>
      <c r="D35" s="8"/>
      <c r="E35" s="8"/>
      <c r="F35" s="229"/>
      <c r="G35" s="174"/>
      <c r="H35" s="8"/>
      <c r="I35" s="174"/>
    </row>
    <row r="36" spans="2:10" x14ac:dyDescent="0.2">
      <c r="B36" s="175" t="s">
        <v>338</v>
      </c>
      <c r="C36" s="175"/>
      <c r="D36" s="227">
        <v>2.98</v>
      </c>
      <c r="E36" s="228">
        <f>Comps!D15</f>
        <v>3270094.3</v>
      </c>
      <c r="F36" s="230">
        <f>8461-8563-26237</f>
        <v>-26339</v>
      </c>
      <c r="G36" s="84">
        <v>0.13700000000000001</v>
      </c>
      <c r="I36" s="176">
        <f>(D36/(1+(1-G36)*(F36/E36)))</f>
        <v>3.0008590922424423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531F-2658-495D-9460-CA708F56769D}">
  <dimension ref="A2:G40"/>
  <sheetViews>
    <sheetView showGridLines="0" zoomScale="140" zoomScaleNormal="140" workbookViewId="0"/>
  </sheetViews>
  <sheetFormatPr baseColWidth="10" defaultColWidth="8.83203125" defaultRowHeight="15" x14ac:dyDescent="0.2"/>
  <cols>
    <col min="1" max="1" width="3.5" style="4" customWidth="1"/>
    <col min="2" max="2" width="36.5" bestFit="1" customWidth="1"/>
    <col min="3" max="5" width="15.83203125" customWidth="1"/>
  </cols>
  <sheetData>
    <row r="2" spans="1:5" s="3" customFormat="1" ht="21" x14ac:dyDescent="0.25">
      <c r="A2" s="1"/>
      <c r="B2" s="2" t="s">
        <v>17</v>
      </c>
    </row>
    <row r="3" spans="1:5" x14ac:dyDescent="0.2">
      <c r="B3" s="9"/>
    </row>
    <row r="4" spans="1:5" x14ac:dyDescent="0.2">
      <c r="A4" s="4" t="s">
        <v>1</v>
      </c>
      <c r="B4" s="15" t="s">
        <v>282</v>
      </c>
      <c r="C4" s="16"/>
      <c r="D4" s="16"/>
      <c r="E4" s="16"/>
    </row>
    <row r="5" spans="1:5" ht="5" customHeight="1" x14ac:dyDescent="0.2">
      <c r="B5" s="17"/>
      <c r="C5" s="18"/>
      <c r="D5" s="18"/>
      <c r="E5" s="18"/>
    </row>
    <row r="6" spans="1:5" x14ac:dyDescent="0.2">
      <c r="B6" s="19" t="s">
        <v>242</v>
      </c>
      <c r="E6" s="232">
        <f>Comps!F12</f>
        <v>186.63</v>
      </c>
    </row>
    <row r="7" spans="1:5" x14ac:dyDescent="0.2">
      <c r="B7" s="20" t="s">
        <v>18</v>
      </c>
      <c r="E7" s="11">
        <v>10495.566881000001</v>
      </c>
    </row>
    <row r="8" spans="1:5" x14ac:dyDescent="0.2">
      <c r="B8" s="19" t="s">
        <v>19</v>
      </c>
      <c r="E8" s="21">
        <f>E30</f>
        <v>0</v>
      </c>
    </row>
    <row r="9" spans="1:5" x14ac:dyDescent="0.2">
      <c r="B9" s="19" t="s">
        <v>20</v>
      </c>
      <c r="E9" s="22">
        <f>SUMPRODUCT(D19:D28,E19:E28)</f>
        <v>0</v>
      </c>
    </row>
    <row r="10" spans="1:5" x14ac:dyDescent="0.2">
      <c r="B10" s="19" t="s">
        <v>21</v>
      </c>
      <c r="E10" s="22">
        <f>E9/E6</f>
        <v>0</v>
      </c>
    </row>
    <row r="11" spans="1:5" x14ac:dyDescent="0.2">
      <c r="B11" s="19" t="s">
        <v>22</v>
      </c>
      <c r="E11" s="22">
        <f>E8-E10</f>
        <v>0</v>
      </c>
    </row>
    <row r="12" spans="1:5" x14ac:dyDescent="0.2">
      <c r="B12" s="19" t="s">
        <v>23</v>
      </c>
      <c r="E12" s="11">
        <f>380.5+E39</f>
        <v>380.5</v>
      </c>
    </row>
    <row r="13" spans="1:5" x14ac:dyDescent="0.2">
      <c r="B13" s="19"/>
      <c r="E13" s="23"/>
    </row>
    <row r="14" spans="1:5" x14ac:dyDescent="0.2">
      <c r="B14" s="24" t="s">
        <v>24</v>
      </c>
      <c r="D14" s="25"/>
      <c r="E14" s="26">
        <f>E7+E11+E12</f>
        <v>10876.066881000001</v>
      </c>
    </row>
    <row r="15" spans="1:5" x14ac:dyDescent="0.2">
      <c r="B15" s="24"/>
      <c r="D15" s="25"/>
      <c r="E15" s="22"/>
    </row>
    <row r="16" spans="1:5" x14ac:dyDescent="0.2">
      <c r="A16" s="4" t="s">
        <v>1</v>
      </c>
      <c r="B16" s="15" t="s">
        <v>25</v>
      </c>
      <c r="C16" s="16"/>
      <c r="D16" s="16"/>
      <c r="E16" s="16"/>
    </row>
    <row r="17" spans="1:7" ht="5" customHeight="1" x14ac:dyDescent="0.2">
      <c r="B17" s="17"/>
      <c r="C17" s="18"/>
      <c r="D17" s="18"/>
      <c r="E17" s="18"/>
    </row>
    <row r="18" spans="1:7" x14ac:dyDescent="0.2">
      <c r="C18" s="12" t="s">
        <v>26</v>
      </c>
      <c r="D18" s="12" t="s">
        <v>27</v>
      </c>
      <c r="E18" s="12" t="s">
        <v>28</v>
      </c>
    </row>
    <row r="19" spans="1:7" x14ac:dyDescent="0.2">
      <c r="B19" s="27">
        <v>1</v>
      </c>
      <c r="C19" s="11"/>
      <c r="D19" s="10"/>
      <c r="E19" s="28">
        <f t="shared" ref="E19:E28" si="0">IF(D19&lt;$E$6,C19)</f>
        <v>0</v>
      </c>
      <c r="G19" s="35"/>
    </row>
    <row r="20" spans="1:7" x14ac:dyDescent="0.2">
      <c r="B20" s="27">
        <f t="shared" ref="B20:B28" si="1">B19+1</f>
        <v>2</v>
      </c>
      <c r="C20" s="11"/>
      <c r="D20" s="11"/>
      <c r="E20" s="28">
        <f t="shared" si="0"/>
        <v>0</v>
      </c>
    </row>
    <row r="21" spans="1:7" x14ac:dyDescent="0.2">
      <c r="B21" s="27">
        <f t="shared" si="1"/>
        <v>3</v>
      </c>
      <c r="C21" s="11"/>
      <c r="D21" s="11"/>
      <c r="E21" s="28">
        <f t="shared" si="0"/>
        <v>0</v>
      </c>
    </row>
    <row r="22" spans="1:7" x14ac:dyDescent="0.2">
      <c r="B22" s="27">
        <f t="shared" si="1"/>
        <v>4</v>
      </c>
      <c r="C22" s="11"/>
      <c r="D22" s="11"/>
      <c r="E22" s="28">
        <f t="shared" si="0"/>
        <v>0</v>
      </c>
    </row>
    <row r="23" spans="1:7" x14ac:dyDescent="0.2">
      <c r="B23" s="27">
        <f t="shared" si="1"/>
        <v>5</v>
      </c>
      <c r="C23" s="11"/>
      <c r="D23" s="11"/>
      <c r="E23" s="28">
        <f t="shared" si="0"/>
        <v>0</v>
      </c>
    </row>
    <row r="24" spans="1:7" x14ac:dyDescent="0.2">
      <c r="B24" s="27">
        <f t="shared" si="1"/>
        <v>6</v>
      </c>
      <c r="C24" s="11"/>
      <c r="D24" s="11"/>
      <c r="E24" s="28">
        <f t="shared" si="0"/>
        <v>0</v>
      </c>
    </row>
    <row r="25" spans="1:7" x14ac:dyDescent="0.2">
      <c r="B25" s="27">
        <f t="shared" si="1"/>
        <v>7</v>
      </c>
      <c r="C25" s="11"/>
      <c r="D25" s="11"/>
      <c r="E25" s="28">
        <f t="shared" si="0"/>
        <v>0</v>
      </c>
    </row>
    <row r="26" spans="1:7" x14ac:dyDescent="0.2">
      <c r="B26" s="27">
        <f t="shared" si="1"/>
        <v>8</v>
      </c>
      <c r="C26" s="11"/>
      <c r="D26" s="11"/>
      <c r="E26" s="28">
        <f t="shared" si="0"/>
        <v>0</v>
      </c>
    </row>
    <row r="27" spans="1:7" x14ac:dyDescent="0.2">
      <c r="B27" s="27">
        <f t="shared" si="1"/>
        <v>9</v>
      </c>
      <c r="C27" s="11"/>
      <c r="D27" s="11"/>
      <c r="E27" s="28">
        <f t="shared" si="0"/>
        <v>0</v>
      </c>
    </row>
    <row r="28" spans="1:7" x14ac:dyDescent="0.2">
      <c r="B28" s="27">
        <f t="shared" si="1"/>
        <v>10</v>
      </c>
      <c r="C28" s="11"/>
      <c r="D28" s="11"/>
      <c r="E28" s="28">
        <f t="shared" si="0"/>
        <v>0</v>
      </c>
    </row>
    <row r="29" spans="1:7" ht="5" customHeight="1" x14ac:dyDescent="0.2">
      <c r="B29" s="29"/>
      <c r="C29" s="30"/>
      <c r="D29" s="30"/>
      <c r="E29" s="31"/>
    </row>
    <row r="30" spans="1:7" x14ac:dyDescent="0.2">
      <c r="A30" s="4" t="s">
        <v>1</v>
      </c>
      <c r="B30" s="32" t="s">
        <v>16</v>
      </c>
      <c r="C30" s="33"/>
      <c r="D30" s="33"/>
      <c r="E30" s="34">
        <f>SUM(E19:E28)</f>
        <v>0</v>
      </c>
    </row>
    <row r="32" spans="1:7" x14ac:dyDescent="0.2">
      <c r="A32" s="4" t="s">
        <v>1</v>
      </c>
      <c r="B32" s="15" t="s">
        <v>286</v>
      </c>
      <c r="C32" s="16"/>
      <c r="D32" s="16"/>
      <c r="E32" s="16"/>
    </row>
    <row r="33" spans="1:5" ht="5" customHeight="1" x14ac:dyDescent="0.2">
      <c r="E33" s="129"/>
    </row>
    <row r="34" spans="1:5" x14ac:dyDescent="0.2">
      <c r="B34" t="s">
        <v>283</v>
      </c>
      <c r="E34" s="172">
        <v>0</v>
      </c>
    </row>
    <row r="35" spans="1:5" x14ac:dyDescent="0.2">
      <c r="B35" t="s">
        <v>287</v>
      </c>
      <c r="E35" s="172">
        <v>0</v>
      </c>
    </row>
    <row r="36" spans="1:5" x14ac:dyDescent="0.2">
      <c r="B36" t="s">
        <v>288</v>
      </c>
      <c r="E36" s="170">
        <f>IFERROR(E34/E37,0)</f>
        <v>0</v>
      </c>
    </row>
    <row r="37" spans="1:5" x14ac:dyDescent="0.2">
      <c r="B37" t="s">
        <v>289</v>
      </c>
      <c r="E37" s="170">
        <f>E34*E35/1000</f>
        <v>0</v>
      </c>
    </row>
    <row r="39" spans="1:5" x14ac:dyDescent="0.2">
      <c r="B39" t="s">
        <v>284</v>
      </c>
      <c r="C39" s="129"/>
      <c r="E39" s="171">
        <f>IF(E6&gt;E36,E37,0)</f>
        <v>0</v>
      </c>
    </row>
    <row r="40" spans="1:5" x14ac:dyDescent="0.2">
      <c r="A40" s="4" t="s">
        <v>1</v>
      </c>
      <c r="B40" s="45" t="s">
        <v>285</v>
      </c>
      <c r="C40" s="45"/>
      <c r="E40" s="169">
        <f>-E34</f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A83C-4F05-40AB-85D5-0D75EEB160F0}">
  <dimension ref="A1:AP26"/>
  <sheetViews>
    <sheetView showGridLines="0" workbookViewId="0"/>
  </sheetViews>
  <sheetFormatPr baseColWidth="10" defaultColWidth="12.1640625" defaultRowHeight="15" outlineLevelCol="1" x14ac:dyDescent="0.2"/>
  <cols>
    <col min="1" max="1" width="4.1640625" style="4" customWidth="1"/>
    <col min="2" max="2" width="18.1640625" customWidth="1"/>
    <col min="3" max="3" width="29.33203125" customWidth="1"/>
    <col min="4" max="4" width="10.6640625" customWidth="1"/>
    <col min="5" max="5" width="12.5" customWidth="1"/>
    <col min="6" max="6" width="11.33203125" bestFit="1" customWidth="1"/>
    <col min="7" max="7" width="11.6640625" hidden="1" customWidth="1" outlineLevel="1"/>
    <col min="8" max="8" width="13" hidden="1" customWidth="1" outlineLevel="1"/>
    <col min="9" max="9" width="9.6640625" bestFit="1" customWidth="1" collapsed="1"/>
    <col min="10" max="10" width="13.33203125" hidden="1" customWidth="1" outlineLevel="1"/>
    <col min="11" max="11" width="13" hidden="1" customWidth="1" outlineLevel="1"/>
    <col min="12" max="12" width="13.5" hidden="1" customWidth="1" outlineLevel="1"/>
    <col min="13" max="13" width="4.1640625" customWidth="1" collapsed="1"/>
    <col min="14" max="15" width="9.83203125" customWidth="1"/>
    <col min="16" max="16" width="9.83203125" hidden="1" customWidth="1" outlineLevel="1" collapsed="1"/>
    <col min="17" max="17" width="9.83203125" hidden="1" customWidth="1" outlineLevel="1"/>
    <col min="18" max="18" width="9.83203125" hidden="1" customWidth="1" outlineLevel="1" collapsed="1"/>
    <col min="19" max="19" width="9.83203125" hidden="1" customWidth="1" outlineLevel="1"/>
    <col min="20" max="20" width="9.83203125" customWidth="1" collapsed="1"/>
    <col min="21" max="23" width="9.83203125" customWidth="1"/>
    <col min="24" max="24" width="6.5" customWidth="1"/>
    <col min="25" max="28" width="9.83203125" hidden="1" customWidth="1"/>
    <col min="29" max="32" width="9.83203125" customWidth="1"/>
    <col min="33" max="33" width="6.5" customWidth="1"/>
    <col min="34" max="36" width="14.5" hidden="1" customWidth="1"/>
    <col min="37" max="42" width="14.5" customWidth="1"/>
  </cols>
  <sheetData>
    <row r="1" spans="1:42" ht="16" x14ac:dyDescent="0.2">
      <c r="AH1" s="180" t="s">
        <v>1</v>
      </c>
      <c r="AI1" s="180"/>
    </row>
    <row r="2" spans="1:42" s="3" customFormat="1" ht="21" x14ac:dyDescent="0.25">
      <c r="A2" s="1"/>
      <c r="B2" s="2" t="s">
        <v>296</v>
      </c>
      <c r="E2" s="181" t="s">
        <v>297</v>
      </c>
      <c r="H2" s="181" t="s">
        <v>297</v>
      </c>
      <c r="K2" s="181" t="s">
        <v>297</v>
      </c>
      <c r="O2" s="181" t="s">
        <v>297</v>
      </c>
      <c r="P2" s="181" t="s">
        <v>297</v>
      </c>
      <c r="AH2" s="182" t="s">
        <v>1</v>
      </c>
      <c r="AI2" s="182"/>
    </row>
    <row r="3" spans="1:42" ht="16" x14ac:dyDescent="0.2">
      <c r="AH3" s="180" t="s">
        <v>1</v>
      </c>
      <c r="AI3" s="180"/>
    </row>
    <row r="4" spans="1:42" ht="16" x14ac:dyDescent="0.2">
      <c r="B4" s="183" t="s">
        <v>228</v>
      </c>
      <c r="C4" s="113">
        <v>45596</v>
      </c>
      <c r="E4" s="184" t="s">
        <v>298</v>
      </c>
      <c r="AH4" s="180" t="s">
        <v>1</v>
      </c>
      <c r="AI4" s="180"/>
    </row>
    <row r="5" spans="1:42" ht="16" x14ac:dyDescent="0.2">
      <c r="B5" s="183" t="s">
        <v>299</v>
      </c>
      <c r="C5" s="112" t="s">
        <v>300</v>
      </c>
      <c r="AH5" s="185"/>
      <c r="AI5" s="185"/>
      <c r="AJ5" s="186"/>
      <c r="AK5" s="186"/>
      <c r="AL5" s="186"/>
      <c r="AM5" s="186"/>
      <c r="AN5" s="186"/>
      <c r="AO5" s="186"/>
      <c r="AP5" s="186"/>
    </row>
    <row r="6" spans="1:42" ht="16" x14ac:dyDescent="0.2">
      <c r="AH6" s="187"/>
      <c r="AI6" s="187"/>
      <c r="AJ6" s="4"/>
      <c r="AK6" s="4"/>
      <c r="AL6" s="4"/>
      <c r="AM6" s="4"/>
      <c r="AN6" s="4"/>
      <c r="AO6" s="4"/>
      <c r="AP6" s="4"/>
    </row>
    <row r="7" spans="1:42" ht="16" x14ac:dyDescent="0.2">
      <c r="B7" s="188">
        <v>1</v>
      </c>
      <c r="C7" s="188">
        <v>2</v>
      </c>
      <c r="D7" s="189">
        <v>7</v>
      </c>
      <c r="E7" s="189">
        <v>12</v>
      </c>
      <c r="F7" s="189">
        <v>14</v>
      </c>
      <c r="G7" s="189">
        <v>15</v>
      </c>
      <c r="H7" s="189">
        <v>16</v>
      </c>
      <c r="I7" s="189">
        <v>17</v>
      </c>
      <c r="J7" s="189">
        <v>21</v>
      </c>
      <c r="K7" s="189">
        <v>22</v>
      </c>
      <c r="L7" s="189">
        <v>23</v>
      </c>
      <c r="M7" s="189"/>
      <c r="N7" s="189">
        <v>44</v>
      </c>
      <c r="O7" s="189">
        <v>45</v>
      </c>
      <c r="P7" s="189">
        <v>46</v>
      </c>
      <c r="Q7" s="189">
        <v>47</v>
      </c>
      <c r="R7" s="189">
        <v>48</v>
      </c>
      <c r="S7" s="189">
        <v>49</v>
      </c>
      <c r="T7" s="189">
        <v>51</v>
      </c>
      <c r="U7" s="189">
        <v>52</v>
      </c>
      <c r="V7" s="189">
        <v>55</v>
      </c>
      <c r="W7" s="189">
        <v>56</v>
      </c>
      <c r="X7" s="189"/>
      <c r="Y7" s="189">
        <v>61</v>
      </c>
      <c r="Z7" s="189">
        <v>62</v>
      </c>
      <c r="AA7" s="189">
        <v>63</v>
      </c>
      <c r="AB7" s="189">
        <v>64</v>
      </c>
      <c r="AC7" s="189">
        <v>68</v>
      </c>
      <c r="AD7" s="189">
        <v>69</v>
      </c>
      <c r="AE7" s="189">
        <v>73</v>
      </c>
      <c r="AF7" s="189">
        <v>74</v>
      </c>
      <c r="AH7" s="189">
        <v>86</v>
      </c>
      <c r="AI7" s="189">
        <v>87</v>
      </c>
      <c r="AJ7" s="189">
        <v>88</v>
      </c>
      <c r="AK7" s="189">
        <v>89</v>
      </c>
      <c r="AL7" s="189">
        <v>90</v>
      </c>
      <c r="AM7" s="189">
        <v>91</v>
      </c>
      <c r="AN7" s="189">
        <v>92</v>
      </c>
      <c r="AO7" s="189">
        <v>93</v>
      </c>
      <c r="AP7" s="189">
        <v>94</v>
      </c>
    </row>
    <row r="8" spans="1:42" ht="19" x14ac:dyDescent="0.2">
      <c r="B8" s="190"/>
      <c r="C8" s="191"/>
      <c r="D8" s="192"/>
      <c r="E8" s="192"/>
      <c r="F8" s="192"/>
      <c r="G8" s="192"/>
      <c r="H8" s="192"/>
      <c r="I8" s="192"/>
      <c r="J8" s="192" t="s">
        <v>301</v>
      </c>
      <c r="K8" s="192" t="s">
        <v>302</v>
      </c>
      <c r="L8" s="192" t="s">
        <v>303</v>
      </c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3" t="s">
        <v>304</v>
      </c>
      <c r="Z8" s="193"/>
      <c r="AA8" s="193"/>
      <c r="AB8" s="193"/>
      <c r="AC8" s="193"/>
      <c r="AD8" s="193"/>
      <c r="AE8" s="193"/>
      <c r="AF8" s="193"/>
      <c r="AG8" s="192"/>
      <c r="AH8" s="193" t="s">
        <v>305</v>
      </c>
      <c r="AI8" s="193"/>
      <c r="AJ8" s="193"/>
      <c r="AK8" s="193" t="s">
        <v>305</v>
      </c>
      <c r="AL8" s="193"/>
      <c r="AM8" s="193"/>
      <c r="AN8" s="193"/>
      <c r="AO8" s="193"/>
      <c r="AP8" s="193"/>
    </row>
    <row r="9" spans="1:42" ht="19" x14ac:dyDescent="0.2">
      <c r="B9" s="190"/>
      <c r="C9" s="190"/>
      <c r="D9" s="192" t="s">
        <v>306</v>
      </c>
      <c r="E9" s="192" t="s">
        <v>307</v>
      </c>
      <c r="F9" s="192" t="s">
        <v>308</v>
      </c>
      <c r="G9" s="192" t="s">
        <v>309</v>
      </c>
      <c r="H9" s="192" t="s">
        <v>309</v>
      </c>
      <c r="I9" s="192" t="s">
        <v>310</v>
      </c>
      <c r="J9" s="192" t="s">
        <v>311</v>
      </c>
      <c r="K9" s="192" t="s">
        <v>311</v>
      </c>
      <c r="L9" s="192" t="s">
        <v>311</v>
      </c>
      <c r="M9" s="192"/>
      <c r="N9" s="193" t="s">
        <v>312</v>
      </c>
      <c r="O9" s="193"/>
      <c r="P9" s="193" t="s">
        <v>313</v>
      </c>
      <c r="Q9" s="193"/>
      <c r="R9" s="193" t="s">
        <v>314</v>
      </c>
      <c r="S9" s="193"/>
      <c r="T9" s="193" t="s">
        <v>315</v>
      </c>
      <c r="U9" s="193"/>
      <c r="V9" s="193" t="s">
        <v>316</v>
      </c>
      <c r="W9" s="193"/>
      <c r="X9" s="192"/>
      <c r="Y9" s="193" t="s">
        <v>317</v>
      </c>
      <c r="Z9" s="193"/>
      <c r="AA9" s="193" t="s">
        <v>318</v>
      </c>
      <c r="AB9" s="193"/>
      <c r="AC9" s="193" t="s">
        <v>319</v>
      </c>
      <c r="AD9" s="193"/>
      <c r="AE9" s="193" t="s">
        <v>320</v>
      </c>
      <c r="AF9" s="193"/>
      <c r="AG9" s="192"/>
      <c r="AH9" s="193" t="s">
        <v>321</v>
      </c>
      <c r="AI9" s="193"/>
      <c r="AJ9" s="193"/>
      <c r="AK9" s="193" t="s">
        <v>322</v>
      </c>
      <c r="AL9" s="193"/>
      <c r="AM9" s="193"/>
      <c r="AN9" s="193" t="s">
        <v>321</v>
      </c>
      <c r="AO9" s="193"/>
      <c r="AP9" s="193"/>
    </row>
    <row r="10" spans="1:42" ht="16" x14ac:dyDescent="0.2">
      <c r="B10" s="194" t="s">
        <v>13</v>
      </c>
      <c r="C10" s="194" t="s">
        <v>323</v>
      </c>
      <c r="D10" s="195" t="s">
        <v>324</v>
      </c>
      <c r="E10" s="195" t="s">
        <v>325</v>
      </c>
      <c r="F10" s="195" t="s">
        <v>311</v>
      </c>
      <c r="G10" s="195" t="s">
        <v>326</v>
      </c>
      <c r="H10" s="195" t="s">
        <v>327</v>
      </c>
      <c r="I10" s="195" t="s">
        <v>327</v>
      </c>
      <c r="J10" s="195" t="s">
        <v>328</v>
      </c>
      <c r="K10" s="195" t="s">
        <v>328</v>
      </c>
      <c r="L10" s="195" t="s">
        <v>328</v>
      </c>
      <c r="M10" s="195"/>
      <c r="N10" s="196" t="s">
        <v>329</v>
      </c>
      <c r="O10" s="196" t="s">
        <v>330</v>
      </c>
      <c r="P10" s="196" t="s">
        <v>331</v>
      </c>
      <c r="Q10" s="196" t="s">
        <v>332</v>
      </c>
      <c r="R10" s="196" t="s">
        <v>331</v>
      </c>
      <c r="S10" s="196" t="s">
        <v>332</v>
      </c>
      <c r="T10" s="196" t="s">
        <v>331</v>
      </c>
      <c r="U10" s="196" t="s">
        <v>332</v>
      </c>
      <c r="V10" s="196" t="s">
        <v>331</v>
      </c>
      <c r="W10" s="196" t="s">
        <v>332</v>
      </c>
      <c r="X10" s="196"/>
      <c r="Y10" s="196" t="s">
        <v>331</v>
      </c>
      <c r="Z10" s="196" t="s">
        <v>332</v>
      </c>
      <c r="AA10" s="196" t="s">
        <v>331</v>
      </c>
      <c r="AB10" s="196" t="s">
        <v>332</v>
      </c>
      <c r="AC10" s="196" t="s">
        <v>331</v>
      </c>
      <c r="AD10" s="196" t="s">
        <v>332</v>
      </c>
      <c r="AE10" s="196" t="s">
        <v>331</v>
      </c>
      <c r="AF10" s="196" t="s">
        <v>332</v>
      </c>
      <c r="AG10" s="196"/>
      <c r="AH10" s="196" t="s">
        <v>333</v>
      </c>
      <c r="AI10" s="196" t="s">
        <v>334</v>
      </c>
      <c r="AJ10" s="196" t="s">
        <v>335</v>
      </c>
      <c r="AK10" s="196" t="s">
        <v>333</v>
      </c>
      <c r="AL10" s="196" t="s">
        <v>334</v>
      </c>
      <c r="AM10" s="196" t="s">
        <v>335</v>
      </c>
      <c r="AN10" s="196" t="s">
        <v>333</v>
      </c>
      <c r="AO10" s="196" t="s">
        <v>334</v>
      </c>
      <c r="AP10" s="196" t="s">
        <v>335</v>
      </c>
    </row>
    <row r="11" spans="1:42" ht="5" customHeight="1" x14ac:dyDescent="0.2">
      <c r="B11" s="197"/>
      <c r="C11" s="197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</row>
    <row r="12" spans="1:42" ht="16" x14ac:dyDescent="0.2">
      <c r="B12" s="200" t="s">
        <v>230</v>
      </c>
      <c r="C12" t="s">
        <v>165</v>
      </c>
      <c r="D12" s="201">
        <v>1950239.9</v>
      </c>
      <c r="E12" s="201">
        <v>2050701.02</v>
      </c>
      <c r="F12" s="202">
        <v>186.63</v>
      </c>
      <c r="G12" s="202">
        <v>137</v>
      </c>
      <c r="H12" s="202">
        <v>200</v>
      </c>
      <c r="I12" s="203">
        <v>0.93314999999999992</v>
      </c>
      <c r="J12" s="203">
        <v>8.1024145195267572E-3</v>
      </c>
      <c r="K12" s="203">
        <v>0.11155449672424056</v>
      </c>
      <c r="L12" s="203">
        <v>2.2555179635894707E-3</v>
      </c>
      <c r="M12" s="203"/>
      <c r="N12" s="203">
        <v>0.10556782101133466</v>
      </c>
      <c r="O12" s="203">
        <v>0.10836636170305836</v>
      </c>
      <c r="P12" s="203">
        <v>0.48690849108950024</v>
      </c>
      <c r="Q12" s="203">
        <v>0.49449717013425731</v>
      </c>
      <c r="R12" s="203">
        <v>9.8186478915085321E-2</v>
      </c>
      <c r="S12" s="203">
        <v>0.10870708152906884</v>
      </c>
      <c r="T12" s="203">
        <v>0.21575693218087325</v>
      </c>
      <c r="U12" s="203">
        <v>0.22657966821362871</v>
      </c>
      <c r="V12" s="203">
        <v>7.9745304138489084E-2</v>
      </c>
      <c r="W12" s="203">
        <v>8.9845347336683395E-2</v>
      </c>
      <c r="X12" s="203"/>
      <c r="Y12" s="204">
        <v>3.2270933765227854</v>
      </c>
      <c r="Z12" s="204">
        <v>2.9115764317893955</v>
      </c>
      <c r="AA12" s="204">
        <v>6.6277204763915334</v>
      </c>
      <c r="AB12" s="204">
        <v>5.8879536782766513</v>
      </c>
      <c r="AC12" s="204">
        <v>14.957078523055056</v>
      </c>
      <c r="AD12" s="204">
        <v>12.85012223181579</v>
      </c>
      <c r="AE12" s="204">
        <v>38.485054263368859</v>
      </c>
      <c r="AF12" s="204">
        <v>30.818982290541204</v>
      </c>
      <c r="AH12" s="203">
        <v>3.4259309071392963E-2</v>
      </c>
      <c r="AI12" s="203">
        <v>0.18986178009677279</v>
      </c>
      <c r="AJ12" s="203">
        <v>2.2352047486427162E-2</v>
      </c>
      <c r="AK12" s="203">
        <v>-4.220339848712118E-2</v>
      </c>
      <c r="AL12" s="203">
        <v>-2.9173233996015235E-2</v>
      </c>
      <c r="AM12" s="203">
        <v>-0.26994856979086757</v>
      </c>
      <c r="AN12" s="203">
        <v>-0.15208274827895629</v>
      </c>
      <c r="AO12" s="203">
        <v>-0.30795616059925124</v>
      </c>
      <c r="AP12" s="203">
        <v>-0.46609040135029911</v>
      </c>
    </row>
    <row r="13" spans="1:42" ht="5" customHeight="1" x14ac:dyDescent="0.2">
      <c r="B13" s="200"/>
      <c r="D13" s="201"/>
      <c r="E13" s="201"/>
      <c r="F13" s="202"/>
      <c r="G13" s="202"/>
      <c r="H13" s="202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4"/>
      <c r="Z13" s="204"/>
      <c r="AA13" s="204"/>
      <c r="AB13" s="204"/>
      <c r="AC13" s="204"/>
      <c r="AD13" s="204"/>
      <c r="AE13" s="204"/>
      <c r="AF13" s="204"/>
      <c r="AH13" s="203"/>
      <c r="AI13" s="203"/>
      <c r="AJ13" s="203"/>
      <c r="AK13" s="203"/>
      <c r="AL13" s="203"/>
      <c r="AM13" s="203"/>
      <c r="AN13" s="203"/>
      <c r="AO13" s="203"/>
      <c r="AP13" s="203"/>
    </row>
    <row r="14" spans="1:42" ht="16" x14ac:dyDescent="0.2">
      <c r="B14" s="200" t="s">
        <v>336</v>
      </c>
      <c r="C14" t="s">
        <v>337</v>
      </c>
      <c r="D14" s="201">
        <v>3498463.5</v>
      </c>
      <c r="E14" s="201">
        <v>3571118.0674999999</v>
      </c>
      <c r="F14" s="202">
        <v>227.6</v>
      </c>
      <c r="G14" s="202">
        <v>165</v>
      </c>
      <c r="H14" s="202">
        <v>236.48</v>
      </c>
      <c r="I14" s="203">
        <v>0.96244925575101492</v>
      </c>
      <c r="J14" s="203">
        <v>6.1447327704344801E-3</v>
      </c>
      <c r="K14" s="203">
        <v>3.5204220867824931E-2</v>
      </c>
      <c r="L14" s="203">
        <v>0.2411386192605518</v>
      </c>
      <c r="M14" s="203"/>
      <c r="N14" s="203">
        <v>3.2698817233851596E-2</v>
      </c>
      <c r="O14" s="203">
        <v>7.0976934943935532E-2</v>
      </c>
      <c r="P14" s="203">
        <v>0.46241289594325019</v>
      </c>
      <c r="Q14" s="203">
        <v>0.46654665903309911</v>
      </c>
      <c r="R14" s="203">
        <v>0.31514666430071864</v>
      </c>
      <c r="S14" s="203">
        <v>0.31956192173774162</v>
      </c>
      <c r="T14" s="203">
        <v>0.34404919002808132</v>
      </c>
      <c r="U14" s="203">
        <v>0.34658304904951603</v>
      </c>
      <c r="V14" s="203">
        <v>0.26482210337751888</v>
      </c>
      <c r="W14" s="203">
        <v>0.26728848689746321</v>
      </c>
      <c r="X14" s="203"/>
      <c r="Y14" s="204">
        <v>8.9654921494535031</v>
      </c>
      <c r="Z14" s="204">
        <v>8.3713214140534564</v>
      </c>
      <c r="AA14" s="204">
        <v>19.388499386820296</v>
      </c>
      <c r="AB14" s="204">
        <v>17.943160136228851</v>
      </c>
      <c r="AC14" s="204">
        <v>26.058750926638538</v>
      </c>
      <c r="AD14" s="204">
        <v>24.153868566311367</v>
      </c>
      <c r="AE14" s="204">
        <v>33.165995858402233</v>
      </c>
      <c r="AF14" s="204">
        <v>30.682228687029845</v>
      </c>
      <c r="AH14" s="203">
        <v>9.3196204513551706E-2</v>
      </c>
      <c r="AI14" s="203">
        <v>0.17427316298073792</v>
      </c>
      <c r="AJ14" s="203">
        <v>0.27537621211475116</v>
      </c>
      <c r="AK14" s="203">
        <v>7.3149919962108623E-2</v>
      </c>
      <c r="AL14" s="203">
        <v>0.12801564262027054</v>
      </c>
      <c r="AM14" s="203">
        <v>0.16633972152594456</v>
      </c>
      <c r="AN14" s="203">
        <v>9.5294364791283392E-2</v>
      </c>
      <c r="AO14" s="203">
        <v>0.14981597239917566</v>
      </c>
      <c r="AP14" s="203">
        <v>0.18774117502181698</v>
      </c>
    </row>
    <row r="15" spans="1:42" ht="16" x14ac:dyDescent="0.2">
      <c r="B15" s="200" t="s">
        <v>338</v>
      </c>
      <c r="C15" t="s">
        <v>339</v>
      </c>
      <c r="D15" s="201">
        <v>3270094.3</v>
      </c>
      <c r="E15" s="201">
        <v>3437411.08</v>
      </c>
      <c r="F15" s="202">
        <v>134.41499999999999</v>
      </c>
      <c r="G15" s="202">
        <v>42.325000000000003</v>
      </c>
      <c r="H15" s="202">
        <v>143.71</v>
      </c>
      <c r="I15" s="203">
        <v>0.93532113283696328</v>
      </c>
      <c r="J15" s="203">
        <v>0.14884615384615385</v>
      </c>
      <c r="K15" s="203">
        <v>0.25305304372145043</v>
      </c>
      <c r="L15" s="203">
        <v>0.51386996136908847</v>
      </c>
      <c r="M15" s="203"/>
      <c r="N15" s="203">
        <v>1.1630697482044883</v>
      </c>
      <c r="O15" s="203">
        <v>0.46692170944772782</v>
      </c>
      <c r="P15" s="203">
        <v>0.7542499804708086</v>
      </c>
      <c r="Q15" s="203">
        <v>0.73506262432595459</v>
      </c>
      <c r="R15" s="203">
        <v>0.65149019584680035</v>
      </c>
      <c r="S15" s="203">
        <v>0.64783948173785144</v>
      </c>
      <c r="T15" s="203">
        <v>0.65100437445566806</v>
      </c>
      <c r="U15" s="203">
        <v>0.65597725275964203</v>
      </c>
      <c r="V15" s="203">
        <v>0.53367285979820922</v>
      </c>
      <c r="W15" s="203">
        <v>0.52703372818957817</v>
      </c>
      <c r="X15" s="203"/>
      <c r="Y15" s="204">
        <v>28.596318928374416</v>
      </c>
      <c r="Z15" s="204">
        <v>19.494100294650671</v>
      </c>
      <c r="AA15" s="204">
        <v>37.913582590382532</v>
      </c>
      <c r="AB15" s="204">
        <v>26.520325819213802</v>
      </c>
      <c r="AC15" s="204">
        <v>43.926462018454167</v>
      </c>
      <c r="AD15" s="204">
        <v>29.717646782172096</v>
      </c>
      <c r="AE15" s="204">
        <v>50.975772864741785</v>
      </c>
      <c r="AF15" s="204">
        <v>35.187919593080117</v>
      </c>
      <c r="AH15" s="203">
        <v>0.11529527931879935</v>
      </c>
      <c r="AI15" s="203">
        <v>0.11811153483082237</v>
      </c>
      <c r="AJ15" s="203">
        <v>0.22305334931511167</v>
      </c>
      <c r="AK15" s="203">
        <v>8.1279269190962289E-2</v>
      </c>
      <c r="AL15" s="203">
        <v>-5.1024869918420368E-2</v>
      </c>
      <c r="AM15" s="203">
        <v>-7.0236663300405455E-2</v>
      </c>
      <c r="AN15" s="203">
        <v>0.11379549923397647</v>
      </c>
      <c r="AO15" s="203">
        <v>-4.2586060937594095E-2</v>
      </c>
      <c r="AP15" s="203">
        <v>-9.0566198900332129E-2</v>
      </c>
    </row>
    <row r="16" spans="1:42" ht="16" x14ac:dyDescent="0.2">
      <c r="B16" s="200" t="s">
        <v>340</v>
      </c>
      <c r="C16" t="s">
        <v>341</v>
      </c>
      <c r="D16" s="201">
        <v>3041094.8</v>
      </c>
      <c r="E16" s="201">
        <v>3077540.7949999999</v>
      </c>
      <c r="F16" s="202">
        <v>410.93209999999999</v>
      </c>
      <c r="G16" s="202">
        <v>346.07</v>
      </c>
      <c r="H16" s="202">
        <v>467.56</v>
      </c>
      <c r="I16" s="203">
        <v>0.87888634613739414</v>
      </c>
      <c r="J16" s="203">
        <v>-2.3194989184435078E-2</v>
      </c>
      <c r="K16" s="203">
        <v>5.9783593233615484E-3</v>
      </c>
      <c r="L16" s="203">
        <v>1.0505336153051603E-2</v>
      </c>
      <c r="M16" s="203"/>
      <c r="N16" s="203">
        <v>0.15412961425062521</v>
      </c>
      <c r="O16" s="203">
        <v>0.13777538042676274</v>
      </c>
      <c r="P16" s="203">
        <v>0.69015044832815975</v>
      </c>
      <c r="Q16" s="203">
        <v>0.67981096770134952</v>
      </c>
      <c r="R16" s="203">
        <v>0.44031236850885863</v>
      </c>
      <c r="S16" s="203">
        <v>0.44142772723561507</v>
      </c>
      <c r="T16" s="203">
        <v>0.53793367615385157</v>
      </c>
      <c r="U16" s="203">
        <v>0.5426436614684903</v>
      </c>
      <c r="V16" s="203">
        <v>0.35671651610209199</v>
      </c>
      <c r="W16" s="203">
        <v>0.35203353941329446</v>
      </c>
      <c r="X16" s="203"/>
      <c r="Y16" s="204">
        <v>11.716810760271784</v>
      </c>
      <c r="Z16" s="204">
        <v>10.297999905637774</v>
      </c>
      <c r="AA16" s="204">
        <v>16.977183436821527</v>
      </c>
      <c r="AB16" s="204">
        <v>15.148328572071271</v>
      </c>
      <c r="AC16" s="204">
        <v>21.781143809484647</v>
      </c>
      <c r="AD16" s="204">
        <v>18.977462811911508</v>
      </c>
      <c r="AE16" s="204">
        <v>32.457296132162931</v>
      </c>
      <c r="AF16" s="204">
        <v>28.906464789677564</v>
      </c>
      <c r="AH16" s="203">
        <v>-6.3622978279307296E-2</v>
      </c>
      <c r="AI16" s="203">
        <v>2.594592630975634E-2</v>
      </c>
      <c r="AJ16" s="203">
        <v>6.6964454375978644E-2</v>
      </c>
      <c r="AK16" s="203">
        <v>-8.2796120463978107E-2</v>
      </c>
      <c r="AL16" s="203">
        <v>-2.3123917072162881E-2</v>
      </c>
      <c r="AM16" s="203">
        <v>-2.3486048428172257E-2</v>
      </c>
      <c r="AN16" s="203">
        <v>-6.3377444871343891E-2</v>
      </c>
      <c r="AO16" s="203">
        <v>8.8863117915176648E-3</v>
      </c>
      <c r="AP16" s="203">
        <v>5.4335497021824608E-3</v>
      </c>
    </row>
    <row r="17" spans="1:42" ht="16" x14ac:dyDescent="0.2">
      <c r="B17" s="200" t="s">
        <v>342</v>
      </c>
      <c r="C17" t="s">
        <v>343</v>
      </c>
      <c r="D17" s="201">
        <v>2113086</v>
      </c>
      <c r="E17" s="201">
        <v>2062690.73</v>
      </c>
      <c r="F17" s="202">
        <v>172.11</v>
      </c>
      <c r="G17" s="202">
        <v>126.45</v>
      </c>
      <c r="H17" s="202">
        <v>191.18</v>
      </c>
      <c r="I17" s="203">
        <v>0.90025107228789625</v>
      </c>
      <c r="J17" s="203">
        <v>3.066051859392771E-2</v>
      </c>
      <c r="K17" s="203">
        <v>3.2701308052322187E-2</v>
      </c>
      <c r="L17" s="203">
        <v>2.9119827792394082E-2</v>
      </c>
      <c r="M17" s="203"/>
      <c r="N17" s="203">
        <v>0.13873230953551441</v>
      </c>
      <c r="O17" s="203">
        <v>0.11535582280449774</v>
      </c>
      <c r="P17" s="203">
        <v>0.5815413346385736</v>
      </c>
      <c r="Q17" s="203">
        <v>0.58264603623584643</v>
      </c>
      <c r="R17" s="203">
        <v>0.31784763455714848</v>
      </c>
      <c r="S17" s="203">
        <v>0.3228639592639716</v>
      </c>
      <c r="T17" s="203">
        <v>0.43001630216005055</v>
      </c>
      <c r="U17" s="203">
        <v>0.44079433389258355</v>
      </c>
      <c r="V17" s="203">
        <v>0.28290837740043734</v>
      </c>
      <c r="W17" s="203">
        <v>0.28090991341174182</v>
      </c>
      <c r="X17" s="203"/>
      <c r="Y17" s="204">
        <v>5.8972841836454633</v>
      </c>
      <c r="Z17" s="204">
        <v>5.2873567906043499</v>
      </c>
      <c r="AA17" s="204">
        <v>10.140782490225927</v>
      </c>
      <c r="AB17" s="204">
        <v>9.0747322761569542</v>
      </c>
      <c r="AC17" s="204">
        <v>13.714094451820374</v>
      </c>
      <c r="AD17" s="204">
        <v>11.995065235781405</v>
      </c>
      <c r="AE17" s="204">
        <v>21.354494948346559</v>
      </c>
      <c r="AF17" s="204">
        <v>19.282112284486907</v>
      </c>
      <c r="AH17" s="203">
        <v>1.6133490369643066E-2</v>
      </c>
      <c r="AI17" s="203">
        <v>0.11593366114241221</v>
      </c>
      <c r="AJ17" s="203">
        <v>6.7996633176102828E-2</v>
      </c>
      <c r="AK17" s="203">
        <v>-2.7189817968082952E-2</v>
      </c>
      <c r="AL17" s="203">
        <v>3.9250713749950927E-2</v>
      </c>
      <c r="AM17" s="203">
        <v>-5.4470331005522565E-2</v>
      </c>
      <c r="AN17" s="203">
        <v>-5.5307976876384002E-2</v>
      </c>
      <c r="AO17" s="203">
        <v>-2.4751141184613301E-2</v>
      </c>
      <c r="AP17" s="203">
        <v>-0.15707143140973145</v>
      </c>
    </row>
    <row r="18" spans="1:42" ht="16" x14ac:dyDescent="0.2">
      <c r="B18" s="200" t="s">
        <v>344</v>
      </c>
      <c r="C18" t="s">
        <v>345</v>
      </c>
      <c r="D18" s="201">
        <v>1435256.6</v>
      </c>
      <c r="E18" s="201">
        <v>1453765</v>
      </c>
      <c r="F18" s="202">
        <v>567.58000000000004</v>
      </c>
      <c r="G18" s="202">
        <v>310.87</v>
      </c>
      <c r="H18" s="202">
        <v>595.94000000000005</v>
      </c>
      <c r="I18" s="203">
        <v>0.95241131657549416</v>
      </c>
      <c r="J18" s="203">
        <v>-1.5421444307596177E-2</v>
      </c>
      <c r="K18" s="203">
        <v>0.16274019748432833</v>
      </c>
      <c r="L18" s="203">
        <v>0.25581909903531308</v>
      </c>
      <c r="M18" s="203"/>
      <c r="N18" s="203">
        <v>0.20279921720952987</v>
      </c>
      <c r="O18" s="203">
        <v>0.14155458627454887</v>
      </c>
      <c r="P18" s="203">
        <v>0.81211077134096243</v>
      </c>
      <c r="Q18" s="203">
        <v>0.80228956996775924</v>
      </c>
      <c r="R18" s="203">
        <v>0.40325964461239439</v>
      </c>
      <c r="S18" s="203">
        <v>0.40729769317028514</v>
      </c>
      <c r="T18" s="203">
        <v>0.60446985030570066</v>
      </c>
      <c r="U18" s="203">
        <v>0.61776352440472626</v>
      </c>
      <c r="V18" s="203">
        <v>0.35424702893540871</v>
      </c>
      <c r="W18" s="203">
        <v>0.3460517586181448</v>
      </c>
      <c r="X18" s="203"/>
      <c r="Y18" s="204">
        <v>8.9594775102332669</v>
      </c>
      <c r="Z18" s="204">
        <v>7.8484880337368939</v>
      </c>
      <c r="AA18" s="204">
        <v>11.032334290357115</v>
      </c>
      <c r="AB18" s="204">
        <v>9.78261257223161</v>
      </c>
      <c r="AC18" s="204">
        <v>14.822042002098465</v>
      </c>
      <c r="AD18" s="204">
        <v>12.704680227437603</v>
      </c>
      <c r="AE18" s="204">
        <v>24.969612977562857</v>
      </c>
      <c r="AF18" s="204">
        <v>22.391350265458552</v>
      </c>
      <c r="AH18" s="203">
        <v>0.10461481019297625</v>
      </c>
      <c r="AI18" s="203">
        <v>0.37860302883878627</v>
      </c>
      <c r="AJ18" s="203">
        <v>0.34503578363356824</v>
      </c>
      <c r="AK18" s="203">
        <v>5.0646164598874277E-2</v>
      </c>
      <c r="AL18" s="203">
        <v>0.22447458059398429</v>
      </c>
      <c r="AM18" s="203">
        <v>0.11596555931214914</v>
      </c>
      <c r="AN18" s="203">
        <v>2.1761018456938785E-2</v>
      </c>
      <c r="AO18" s="203">
        <v>0.12104366953193679</v>
      </c>
      <c r="AP18" s="203">
        <v>6.9749467695232381E-2</v>
      </c>
    </row>
    <row r="19" spans="1:42" ht="16" x14ac:dyDescent="0.2">
      <c r="B19" s="200" t="s">
        <v>346</v>
      </c>
      <c r="C19" t="s">
        <v>347</v>
      </c>
      <c r="D19" s="201">
        <v>662311.56000000006</v>
      </c>
      <c r="E19" s="201">
        <v>716555.59</v>
      </c>
      <c r="F19" s="202">
        <v>82.394999999999996</v>
      </c>
      <c r="G19" s="202">
        <v>50.286613000000003</v>
      </c>
      <c r="H19" s="202">
        <v>83.27</v>
      </c>
      <c r="I19" s="203">
        <v>0.98949201393058728</v>
      </c>
      <c r="J19" s="203">
        <v>1.3842746400885897E-2</v>
      </c>
      <c r="K19" s="203">
        <v>0.20354951796669596</v>
      </c>
      <c r="L19" s="203">
        <v>0.37738214643931789</v>
      </c>
      <c r="M19" s="203"/>
      <c r="N19" s="203">
        <v>4.7812365150476266E-2</v>
      </c>
      <c r="O19" s="203">
        <v>4.1491174388682106E-2</v>
      </c>
      <c r="P19" s="203">
        <v>0.2385443275087771</v>
      </c>
      <c r="Q19" s="203">
        <v>0.24309601802296502</v>
      </c>
      <c r="R19" s="203">
        <v>4.3137057387780037E-2</v>
      </c>
      <c r="S19" s="203">
        <v>4.5481754003939175E-2</v>
      </c>
      <c r="T19" s="203">
        <v>6.2107703589192417E-2</v>
      </c>
      <c r="U19" s="203">
        <v>6.4795392356901488E-2</v>
      </c>
      <c r="V19" s="203">
        <v>2.8997925874807946E-2</v>
      </c>
      <c r="W19" s="203">
        <v>3.08527647651477E-2</v>
      </c>
      <c r="X19" s="203"/>
      <c r="Y19" s="204">
        <v>1.0602268517093705</v>
      </c>
      <c r="Z19" s="204">
        <v>1.0179892809285545</v>
      </c>
      <c r="AA19" s="204">
        <v>4.4445695388432993</v>
      </c>
      <c r="AB19" s="204">
        <v>4.1876016283918984</v>
      </c>
      <c r="AC19" s="204">
        <v>17.070778509573881</v>
      </c>
      <c r="AD19" s="204">
        <v>15.710828253363088</v>
      </c>
      <c r="AE19" s="204">
        <v>33.794366577929303</v>
      </c>
      <c r="AF19" s="204">
        <v>30.497312088517379</v>
      </c>
      <c r="AH19" s="203">
        <v>0.20286388235946662</v>
      </c>
      <c r="AI19" s="203">
        <v>0.28907740542972649</v>
      </c>
      <c r="AJ19" s="203">
        <v>0.30729406554815575</v>
      </c>
      <c r="AK19" s="203">
        <v>0.16978744750303587</v>
      </c>
      <c r="AL19" s="203">
        <v>0.22623616545648839</v>
      </c>
      <c r="AM19" s="203">
        <v>0.2622472241245879</v>
      </c>
      <c r="AN19" s="203">
        <v>0.19590016928434739</v>
      </c>
      <c r="AO19" s="203">
        <v>0.2631883399370547</v>
      </c>
      <c r="AP19" s="203">
        <v>0.31441504724777825</v>
      </c>
    </row>
    <row r="20" spans="1:42" ht="5" customHeight="1" x14ac:dyDescent="0.2">
      <c r="B20" s="205"/>
      <c r="D20" s="201"/>
      <c r="E20" s="201"/>
      <c r="F20" s="4"/>
      <c r="G20" s="202"/>
      <c r="H20" s="202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4"/>
      <c r="Z20" s="204"/>
      <c r="AA20" s="204"/>
      <c r="AB20" s="204"/>
      <c r="AC20" s="204"/>
      <c r="AD20" s="204"/>
      <c r="AE20" s="204"/>
      <c r="AF20" s="204"/>
      <c r="AH20" s="180"/>
      <c r="AI20" s="180"/>
    </row>
    <row r="21" spans="1:42" ht="16" x14ac:dyDescent="0.2">
      <c r="B21" s="206" t="s">
        <v>348</v>
      </c>
      <c r="C21" s="207"/>
      <c r="D21" s="207"/>
      <c r="E21" s="207"/>
      <c r="F21" s="207"/>
      <c r="G21" s="207"/>
      <c r="H21" s="207"/>
      <c r="I21" s="208">
        <v>0.9364685229198918</v>
      </c>
      <c r="J21" s="208">
        <v>2.414001894841392E-2</v>
      </c>
      <c r="K21" s="208">
        <v>0.11496873487717485</v>
      </c>
      <c r="L21" s="208">
        <v>0.20429864400190093</v>
      </c>
      <c r="M21" s="208"/>
      <c r="N21" s="208">
        <v>0.28987367859741425</v>
      </c>
      <c r="O21" s="208">
        <v>0.16234593471435912</v>
      </c>
      <c r="P21" s="208">
        <v>0.58983495970508859</v>
      </c>
      <c r="Q21" s="208">
        <v>0.58490864588116231</v>
      </c>
      <c r="R21" s="208">
        <v>0.36186559420228342</v>
      </c>
      <c r="S21" s="208">
        <v>0.36407875619156732</v>
      </c>
      <c r="T21" s="208">
        <v>0.43826351611542408</v>
      </c>
      <c r="U21" s="208">
        <v>0.44475953565530985</v>
      </c>
      <c r="V21" s="208">
        <v>0.30356080191474566</v>
      </c>
      <c r="W21" s="208">
        <v>0.30069503188256169</v>
      </c>
      <c r="X21" s="208"/>
      <c r="Y21" s="209">
        <v>10.865935063947967</v>
      </c>
      <c r="Z21" s="209">
        <v>8.7195426199352823</v>
      </c>
      <c r="AA21" s="209">
        <v>16.649491955575119</v>
      </c>
      <c r="AB21" s="209">
        <v>13.776126834049066</v>
      </c>
      <c r="AC21" s="209">
        <v>22.895545286345012</v>
      </c>
      <c r="AD21" s="209">
        <v>18.87659197949618</v>
      </c>
      <c r="AE21" s="209">
        <v>32.786256559857613</v>
      </c>
      <c r="AF21" s="209">
        <v>27.82456461804173</v>
      </c>
      <c r="AG21" s="208"/>
      <c r="AH21" s="210">
        <v>7.8080114745854953E-2</v>
      </c>
      <c r="AI21" s="210">
        <v>0.18365745325537361</v>
      </c>
      <c r="AJ21" s="210">
        <v>0.21428674969394471</v>
      </c>
      <c r="AK21" s="210">
        <v>4.4146143803820002E-2</v>
      </c>
      <c r="AL21" s="210">
        <v>9.0638052571685154E-2</v>
      </c>
      <c r="AM21" s="210">
        <v>6.6059910371430219E-2</v>
      </c>
      <c r="AN21" s="210">
        <v>5.1344271669803022E-2</v>
      </c>
      <c r="AO21" s="210">
        <v>7.9266181922912904E-2</v>
      </c>
      <c r="AP21" s="211">
        <v>5.4950268226157749E-2</v>
      </c>
    </row>
    <row r="22" spans="1:42" ht="16" x14ac:dyDescent="0.2">
      <c r="A22" s="4" t="s">
        <v>1</v>
      </c>
      <c r="B22" s="212" t="s">
        <v>349</v>
      </c>
      <c r="C22" s="213"/>
      <c r="D22" s="213"/>
      <c r="E22" s="213"/>
      <c r="F22" s="213"/>
      <c r="G22" s="213"/>
      <c r="H22" s="213"/>
      <c r="I22" s="214">
        <v>0.94386622470622872</v>
      </c>
      <c r="J22" s="214">
        <v>8.1024145195267572E-3</v>
      </c>
      <c r="K22" s="214">
        <v>0.11155449672424056</v>
      </c>
      <c r="L22" s="214">
        <v>0.2411386192605518</v>
      </c>
      <c r="M22" s="214"/>
      <c r="N22" s="214">
        <v>0.14643096189306981</v>
      </c>
      <c r="O22" s="214">
        <v>0.12656560161563024</v>
      </c>
      <c r="P22" s="214">
        <v>0.63584589148336668</v>
      </c>
      <c r="Q22" s="214">
        <v>0.63122850196859792</v>
      </c>
      <c r="R22" s="214">
        <v>0.36055363958477143</v>
      </c>
      <c r="S22" s="214">
        <v>0.36508082621712834</v>
      </c>
      <c r="T22" s="214">
        <v>0.48397498915695103</v>
      </c>
      <c r="U22" s="214">
        <v>0.49171899768053695</v>
      </c>
      <c r="V22" s="214">
        <v>0.318577703167923</v>
      </c>
      <c r="W22" s="214">
        <v>0.31348083601494331</v>
      </c>
      <c r="X22" s="214"/>
      <c r="Y22" s="215">
        <v>8.962484829843385</v>
      </c>
      <c r="Z22" s="215">
        <v>8.1099047238951751</v>
      </c>
      <c r="AA22" s="215">
        <v>14.00475886358932</v>
      </c>
      <c r="AB22" s="215">
        <v>12.465470572151441</v>
      </c>
      <c r="AC22" s="215">
        <v>19.425961159529265</v>
      </c>
      <c r="AD22" s="215">
        <v>17.344145532637299</v>
      </c>
      <c r="AE22" s="215">
        <v>32.811645995282582</v>
      </c>
      <c r="AF22" s="215">
        <v>29.701888439097473</v>
      </c>
      <c r="AG22" s="214"/>
      <c r="AH22" s="216">
        <v>9.8905507353263977E-2</v>
      </c>
      <c r="AI22" s="216">
        <v>0.14619234890578015</v>
      </c>
      <c r="AJ22" s="216">
        <v>0.24921478071493142</v>
      </c>
      <c r="AK22" s="216">
        <v>6.189804228049145E-2</v>
      </c>
      <c r="AL22" s="216">
        <v>8.3633178185110735E-2</v>
      </c>
      <c r="AM22" s="216">
        <v>4.6239755441988439E-2</v>
      </c>
      <c r="AN22" s="216">
        <v>5.8527691624111089E-2</v>
      </c>
      <c r="AO22" s="216">
        <v>6.4964990661727229E-2</v>
      </c>
      <c r="AP22" s="217">
        <v>3.7591508698707421E-2</v>
      </c>
    </row>
    <row r="26" spans="1:42" x14ac:dyDescent="0.2">
      <c r="G26" t="s">
        <v>350</v>
      </c>
    </row>
  </sheetData>
  <conditionalFormatting sqref="I12:I1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:J1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:K1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0:M20 M12:M1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L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:N1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:W1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O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:P1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:Q1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:T1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:R1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:S1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:T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U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W1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:V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:W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:X19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:Y19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:Z19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:AA19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:AB1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:AC19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:AD19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:AE19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:AF19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:AH1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:AP19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:AI1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:AP19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2:AK19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:AL19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:AM1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12:AN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2:AO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:AP1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9D27-3B18-4FDA-8CD2-3B3BB9E72CBF}">
  <sheetPr>
    <tabColor theme="3"/>
  </sheetPr>
  <dimension ref="A1"/>
  <sheetViews>
    <sheetView topLeftCell="A1048576" workbookViewId="0">
      <selection sqref="A1:XFD1048576"/>
    </sheetView>
  </sheetViews>
  <sheetFormatPr baseColWidth="10" defaultColWidth="8.83203125" defaultRowHeight="15" zeroHeight="1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0D34-E0B3-44F1-8115-1ACA7B471D09}">
  <sheetPr>
    <outlinePr summaryBelow="0" summaryRight="0"/>
  </sheetPr>
  <dimension ref="A1:Q21"/>
  <sheetViews>
    <sheetView zoomScale="170" zoomScaleNormal="170" workbookViewId="0"/>
  </sheetViews>
  <sheetFormatPr baseColWidth="10" defaultColWidth="9.1640625" defaultRowHeight="15" customHeight="1" outlineLevelRow="1" x14ac:dyDescent="0.15"/>
  <cols>
    <col min="1" max="1" width="23" style="46" customWidth="1"/>
    <col min="2" max="2" width="7.6640625" style="46" customWidth="1"/>
    <col min="3" max="11" width="7.83203125" style="46" customWidth="1"/>
    <col min="12" max="16" width="8.83203125" style="46" customWidth="1"/>
    <col min="17" max="17" width="9.5" style="46" customWidth="1"/>
    <col min="18" max="16384" width="9.1640625" style="46"/>
  </cols>
  <sheetData>
    <row r="1" spans="1:17" ht="15" customHeight="1" x14ac:dyDescent="0.15">
      <c r="A1" s="54" t="s">
        <v>102</v>
      </c>
    </row>
    <row r="2" spans="1:17" ht="15" customHeight="1" x14ac:dyDescent="0.15">
      <c r="A2" s="46" t="s">
        <v>111</v>
      </c>
    </row>
    <row r="3" spans="1:17" ht="15" customHeight="1" x14ac:dyDescent="0.15">
      <c r="A3" s="53"/>
      <c r="B3" s="53" t="s">
        <v>100</v>
      </c>
      <c r="C3" s="53" t="s">
        <v>99</v>
      </c>
      <c r="D3" s="53" t="s">
        <v>98</v>
      </c>
      <c r="E3" s="53" t="s">
        <v>97</v>
      </c>
      <c r="F3" s="53" t="s">
        <v>96</v>
      </c>
      <c r="G3" s="53" t="s">
        <v>95</v>
      </c>
      <c r="H3" s="53" t="s">
        <v>94</v>
      </c>
      <c r="I3" s="53" t="s">
        <v>93</v>
      </c>
      <c r="J3" s="53" t="s">
        <v>92</v>
      </c>
      <c r="K3" s="53" t="s">
        <v>91</v>
      </c>
      <c r="L3" s="53" t="s">
        <v>90</v>
      </c>
      <c r="M3" s="53" t="s">
        <v>89</v>
      </c>
      <c r="N3" s="53" t="s">
        <v>88</v>
      </c>
      <c r="O3" s="53" t="s">
        <v>87</v>
      </c>
      <c r="P3" s="53" t="s">
        <v>86</v>
      </c>
      <c r="Q3" s="53" t="s">
        <v>85</v>
      </c>
    </row>
    <row r="4" spans="1:17" ht="15" customHeight="1" x14ac:dyDescent="0.15">
      <c r="A4" s="53"/>
      <c r="B4" s="53" t="s">
        <v>84</v>
      </c>
      <c r="C4" s="53" t="s">
        <v>83</v>
      </c>
      <c r="D4" s="53" t="s">
        <v>82</v>
      </c>
      <c r="E4" s="53" t="s">
        <v>81</v>
      </c>
      <c r="F4" s="53" t="s">
        <v>80</v>
      </c>
      <c r="G4" s="53" t="s">
        <v>79</v>
      </c>
      <c r="H4" s="53" t="s">
        <v>78</v>
      </c>
      <c r="I4" s="53" t="s">
        <v>77</v>
      </c>
      <c r="J4" s="53" t="s">
        <v>76</v>
      </c>
      <c r="K4" s="53" t="s">
        <v>75</v>
      </c>
      <c r="L4" s="53" t="s">
        <v>74</v>
      </c>
      <c r="M4" s="53" t="s">
        <v>73</v>
      </c>
      <c r="N4" s="53" t="s">
        <v>72</v>
      </c>
      <c r="O4" s="53" t="s">
        <v>71</v>
      </c>
      <c r="P4" s="53" t="s">
        <v>70</v>
      </c>
      <c r="Q4" s="53" t="s">
        <v>69</v>
      </c>
    </row>
    <row r="5" spans="1:17" ht="15" customHeight="1" x14ac:dyDescent="0.15">
      <c r="A5" s="89" t="s">
        <v>110</v>
      </c>
      <c r="B5" s="90">
        <v>88988</v>
      </c>
      <c r="C5" s="90">
        <v>107006</v>
      </c>
      <c r="D5" s="90">
        <v>135987</v>
      </c>
      <c r="E5" s="90">
        <v>177866</v>
      </c>
      <c r="F5" s="90">
        <v>232887</v>
      </c>
      <c r="G5" s="90">
        <v>280522</v>
      </c>
      <c r="H5" s="90">
        <v>386064</v>
      </c>
      <c r="I5" s="90">
        <v>469822</v>
      </c>
      <c r="J5" s="90">
        <v>513983</v>
      </c>
      <c r="K5" s="90">
        <v>574785</v>
      </c>
      <c r="L5" s="90">
        <v>635548</v>
      </c>
      <c r="M5" s="90">
        <v>704509</v>
      </c>
      <c r="N5" s="90">
        <v>779688</v>
      </c>
      <c r="O5" s="90">
        <v>858282</v>
      </c>
      <c r="P5" s="90">
        <v>942468</v>
      </c>
      <c r="Q5" s="90">
        <v>1029190</v>
      </c>
    </row>
    <row r="6" spans="1:17" ht="15" customHeight="1" collapsed="1" x14ac:dyDescent="0.15">
      <c r="A6" s="49" t="s">
        <v>105</v>
      </c>
      <c r="B6" s="47">
        <v>55469</v>
      </c>
      <c r="C6" s="47">
        <v>63708</v>
      </c>
      <c r="D6" s="47">
        <v>79785</v>
      </c>
      <c r="E6" s="47">
        <v>106110</v>
      </c>
      <c r="F6" s="47">
        <v>141366</v>
      </c>
      <c r="G6" s="47">
        <v>170773</v>
      </c>
      <c r="H6" s="47">
        <v>236282</v>
      </c>
      <c r="I6" s="47">
        <v>279833</v>
      </c>
      <c r="J6" s="47">
        <v>315880</v>
      </c>
      <c r="K6" s="47">
        <v>352828</v>
      </c>
      <c r="L6" s="47">
        <v>386647</v>
      </c>
      <c r="M6" s="47">
        <v>423461</v>
      </c>
      <c r="N6" s="47">
        <v>461471</v>
      </c>
      <c r="O6" s="47">
        <v>497416</v>
      </c>
      <c r="P6" s="47">
        <v>546306</v>
      </c>
      <c r="Q6" s="47">
        <v>590847</v>
      </c>
    </row>
    <row r="7" spans="1:17" ht="15" hidden="1" customHeight="1" outlineLevel="1" x14ac:dyDescent="0.15">
      <c r="A7" s="56" t="s">
        <v>109</v>
      </c>
      <c r="B7" s="87" t="s">
        <v>66</v>
      </c>
      <c r="C7" s="87" t="s">
        <v>66</v>
      </c>
      <c r="D7" s="52">
        <v>1318</v>
      </c>
      <c r="E7" s="87" t="s">
        <v>66</v>
      </c>
      <c r="F7" s="87" t="s">
        <v>66</v>
      </c>
      <c r="G7" s="87" t="s">
        <v>66</v>
      </c>
      <c r="H7" s="87" t="s">
        <v>66</v>
      </c>
      <c r="I7" s="87" t="s">
        <v>66</v>
      </c>
      <c r="J7" s="52">
        <v>4247</v>
      </c>
      <c r="K7" s="87" t="s">
        <v>66</v>
      </c>
      <c r="L7" s="52">
        <v>5380</v>
      </c>
      <c r="M7" s="87" t="s">
        <v>66</v>
      </c>
      <c r="N7" s="87" t="s">
        <v>66</v>
      </c>
      <c r="O7" s="87" t="s">
        <v>66</v>
      </c>
      <c r="P7" s="87" t="s">
        <v>66</v>
      </c>
      <c r="Q7" s="87" t="s">
        <v>66</v>
      </c>
    </row>
    <row r="8" spans="1:17" ht="15" customHeight="1" x14ac:dyDescent="0.15">
      <c r="A8" s="51" t="s">
        <v>104</v>
      </c>
      <c r="B8" s="52">
        <v>33519</v>
      </c>
      <c r="C8" s="52">
        <v>35418</v>
      </c>
      <c r="D8" s="52">
        <v>43983</v>
      </c>
      <c r="E8" s="52">
        <v>54297</v>
      </c>
      <c r="F8" s="52">
        <v>65866</v>
      </c>
      <c r="G8" s="52">
        <v>74723</v>
      </c>
      <c r="H8" s="52">
        <v>104412</v>
      </c>
      <c r="I8" s="52">
        <v>127787</v>
      </c>
      <c r="J8" s="52">
        <v>118007</v>
      </c>
      <c r="K8" s="52">
        <v>131200</v>
      </c>
      <c r="L8" s="52">
        <v>141444</v>
      </c>
      <c r="M8" s="52">
        <v>154680</v>
      </c>
      <c r="N8" s="52">
        <v>171709</v>
      </c>
      <c r="O8" s="52">
        <v>192631</v>
      </c>
      <c r="P8" s="52">
        <v>199416</v>
      </c>
      <c r="Q8" s="52">
        <v>215930</v>
      </c>
    </row>
    <row r="9" spans="1:17" ht="15" customHeight="1" x14ac:dyDescent="0.15">
      <c r="A9" s="49" t="s">
        <v>103</v>
      </c>
      <c r="B9" s="47" t="s">
        <v>66</v>
      </c>
      <c r="C9" s="47">
        <v>7880</v>
      </c>
      <c r="D9" s="47">
        <v>12219</v>
      </c>
      <c r="E9" s="47">
        <v>17459</v>
      </c>
      <c r="F9" s="47">
        <v>25655</v>
      </c>
      <c r="G9" s="47">
        <v>35026</v>
      </c>
      <c r="H9" s="47">
        <v>45370</v>
      </c>
      <c r="I9" s="47">
        <v>62202</v>
      </c>
      <c r="J9" s="47">
        <v>80096</v>
      </c>
      <c r="K9" s="47">
        <v>90757</v>
      </c>
      <c r="L9" s="47">
        <v>107555</v>
      </c>
      <c r="M9" s="47">
        <v>127628</v>
      </c>
      <c r="N9" s="47">
        <v>151647</v>
      </c>
      <c r="O9" s="47">
        <v>176580</v>
      </c>
      <c r="P9" s="47">
        <v>208724</v>
      </c>
      <c r="Q9" s="47">
        <v>249139</v>
      </c>
    </row>
    <row r="10" spans="1:17" ht="15" customHeight="1" x14ac:dyDescent="0.15">
      <c r="A10" s="51"/>
      <c r="B10" s="87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5" customHeight="1" x14ac:dyDescent="0.15">
      <c r="A11" s="91" t="s">
        <v>108</v>
      </c>
      <c r="B11" s="92">
        <v>178</v>
      </c>
      <c r="C11" s="92">
        <v>2233</v>
      </c>
      <c r="D11" s="92">
        <v>4186</v>
      </c>
      <c r="E11" s="92">
        <v>4106</v>
      </c>
      <c r="F11" s="92">
        <v>12421</v>
      </c>
      <c r="G11" s="92">
        <v>14541</v>
      </c>
      <c r="H11" s="92">
        <v>22899</v>
      </c>
      <c r="I11" s="92">
        <v>24879</v>
      </c>
      <c r="J11" s="92">
        <v>12248</v>
      </c>
      <c r="K11" s="92">
        <v>36852</v>
      </c>
      <c r="L11" s="92">
        <v>62364.9</v>
      </c>
      <c r="M11" s="92">
        <v>76519.399999999994</v>
      </c>
      <c r="N11" s="92">
        <v>95065</v>
      </c>
      <c r="O11" s="92">
        <v>119029</v>
      </c>
      <c r="P11" s="92">
        <v>143146</v>
      </c>
      <c r="Q11" s="92">
        <v>174540</v>
      </c>
    </row>
    <row r="12" spans="1:17" ht="15" customHeight="1" collapsed="1" x14ac:dyDescent="0.15">
      <c r="A12" s="51" t="s">
        <v>105</v>
      </c>
      <c r="B12" s="52">
        <v>2105</v>
      </c>
      <c r="C12" s="52">
        <v>2751</v>
      </c>
      <c r="D12" s="52">
        <v>4099</v>
      </c>
      <c r="E12" s="52">
        <v>2837</v>
      </c>
      <c r="F12" s="52">
        <v>7267</v>
      </c>
      <c r="G12" s="52">
        <v>7033</v>
      </c>
      <c r="H12" s="52">
        <v>8651</v>
      </c>
      <c r="I12" s="52">
        <v>7271</v>
      </c>
      <c r="J12" s="50">
        <v>-2847</v>
      </c>
      <c r="K12" s="52">
        <v>14877</v>
      </c>
      <c r="L12" s="52">
        <v>23233.5</v>
      </c>
      <c r="M12" s="52">
        <v>31059.3</v>
      </c>
      <c r="N12" s="52">
        <v>34190</v>
      </c>
      <c r="O12" s="87" t="s">
        <v>66</v>
      </c>
      <c r="P12" s="87" t="s">
        <v>66</v>
      </c>
      <c r="Q12" s="87" t="s">
        <v>66</v>
      </c>
    </row>
    <row r="13" spans="1:17" ht="15" hidden="1" customHeight="1" outlineLevel="1" x14ac:dyDescent="0.15">
      <c r="A13" s="55" t="s">
        <v>107</v>
      </c>
      <c r="B13" s="88" t="s">
        <v>66</v>
      </c>
      <c r="C13" s="88" t="s">
        <v>66</v>
      </c>
      <c r="D13" s="88" t="s">
        <v>66</v>
      </c>
      <c r="E13" s="88" t="s">
        <v>66</v>
      </c>
      <c r="F13" s="88" t="s">
        <v>66</v>
      </c>
      <c r="G13" s="88" t="s">
        <v>66</v>
      </c>
      <c r="H13" s="88" t="s">
        <v>66</v>
      </c>
      <c r="I13" s="88" t="s">
        <v>66</v>
      </c>
      <c r="J13" s="48">
        <v>-2847</v>
      </c>
      <c r="K13" s="88" t="s">
        <v>66</v>
      </c>
      <c r="L13" s="88" t="s">
        <v>66</v>
      </c>
      <c r="M13" s="88" t="s">
        <v>66</v>
      </c>
      <c r="N13" s="88" t="s">
        <v>66</v>
      </c>
      <c r="O13" s="88" t="s">
        <v>66</v>
      </c>
      <c r="P13" s="88" t="s">
        <v>66</v>
      </c>
      <c r="Q13" s="88" t="s">
        <v>66</v>
      </c>
    </row>
    <row r="14" spans="1:17" ht="15" customHeight="1" x14ac:dyDescent="0.15">
      <c r="A14" s="49" t="s">
        <v>104</v>
      </c>
      <c r="B14" s="88">
        <v>-297</v>
      </c>
      <c r="C14" s="47">
        <v>-91</v>
      </c>
      <c r="D14" s="47">
        <v>-477</v>
      </c>
      <c r="E14" s="47">
        <v>-3062</v>
      </c>
      <c r="F14" s="47">
        <v>-2142</v>
      </c>
      <c r="G14" s="47">
        <v>-1693</v>
      </c>
      <c r="H14" s="47">
        <v>717</v>
      </c>
      <c r="I14" s="47">
        <v>-924</v>
      </c>
      <c r="J14" s="47">
        <v>-7746</v>
      </c>
      <c r="K14" s="47">
        <v>-2656</v>
      </c>
      <c r="L14" s="47">
        <v>1765.17</v>
      </c>
      <c r="M14" s="47">
        <v>3899.91</v>
      </c>
      <c r="N14" s="47">
        <v>9726</v>
      </c>
      <c r="O14" s="47" t="s">
        <v>66</v>
      </c>
      <c r="P14" s="47" t="s">
        <v>66</v>
      </c>
      <c r="Q14" s="47" t="s">
        <v>66</v>
      </c>
    </row>
    <row r="15" spans="1:17" ht="15" customHeight="1" collapsed="1" x14ac:dyDescent="0.15">
      <c r="A15" s="51" t="s">
        <v>103</v>
      </c>
      <c r="B15" s="52" t="s">
        <v>66</v>
      </c>
      <c r="C15" s="52">
        <v>1863</v>
      </c>
      <c r="D15" s="52">
        <v>3706</v>
      </c>
      <c r="E15" s="52">
        <v>4331</v>
      </c>
      <c r="F15" s="52">
        <v>7296</v>
      </c>
      <c r="G15" s="52">
        <v>9201</v>
      </c>
      <c r="H15" s="52">
        <v>13531</v>
      </c>
      <c r="I15" s="52">
        <v>18532</v>
      </c>
      <c r="J15" s="50">
        <v>22841</v>
      </c>
      <c r="K15" s="52">
        <v>24631</v>
      </c>
      <c r="L15" s="52">
        <v>37271.5</v>
      </c>
      <c r="M15" s="52">
        <v>42816.2</v>
      </c>
      <c r="N15" s="52">
        <v>53907.1</v>
      </c>
      <c r="O15" s="87">
        <v>70418.5</v>
      </c>
      <c r="P15" s="87">
        <v>85067.5</v>
      </c>
      <c r="Q15" s="87">
        <v>102298</v>
      </c>
    </row>
    <row r="16" spans="1:17" ht="15" hidden="1" customHeight="1" outlineLevel="1" x14ac:dyDescent="0.15">
      <c r="A16" s="51" t="s">
        <v>106</v>
      </c>
      <c r="B16" s="87" t="s">
        <v>66</v>
      </c>
      <c r="C16" s="87" t="s">
        <v>66</v>
      </c>
      <c r="D16" s="87" t="s">
        <v>66</v>
      </c>
      <c r="E16" s="87" t="s">
        <v>66</v>
      </c>
      <c r="F16" s="87" t="s">
        <v>66</v>
      </c>
      <c r="G16" s="87" t="s">
        <v>66</v>
      </c>
      <c r="H16" s="87" t="s">
        <v>66</v>
      </c>
      <c r="I16" s="52">
        <v>495.17500000000001</v>
      </c>
      <c r="J16" s="52">
        <v>568.89</v>
      </c>
      <c r="K16" s="87" t="s">
        <v>66</v>
      </c>
      <c r="L16" s="87" t="s">
        <v>66</v>
      </c>
      <c r="M16" s="87" t="s">
        <v>66</v>
      </c>
      <c r="N16" s="87" t="s">
        <v>66</v>
      </c>
      <c r="O16" s="87" t="s">
        <v>66</v>
      </c>
      <c r="P16" s="87" t="s">
        <v>66</v>
      </c>
      <c r="Q16" s="87" t="s">
        <v>66</v>
      </c>
    </row>
    <row r="17" spans="1:17" ht="15" customHeight="1" x14ac:dyDescent="0.15">
      <c r="A17" s="51"/>
      <c r="B17" s="87"/>
      <c r="C17" s="87"/>
      <c r="D17" s="87"/>
      <c r="E17" s="87"/>
      <c r="F17" s="87"/>
      <c r="G17" s="87"/>
      <c r="H17" s="87"/>
      <c r="I17" s="52"/>
      <c r="J17" s="52"/>
      <c r="K17" s="87"/>
      <c r="L17" s="87"/>
      <c r="M17" s="87"/>
      <c r="N17" s="87"/>
      <c r="O17" s="87"/>
      <c r="P17" s="87"/>
      <c r="Q17" s="87"/>
    </row>
    <row r="18" spans="1:17" ht="15" customHeight="1" x14ac:dyDescent="0.15">
      <c r="A18" s="91" t="s">
        <v>39</v>
      </c>
      <c r="B18" s="92">
        <v>6553</v>
      </c>
      <c r="C18" s="92">
        <v>10805</v>
      </c>
      <c r="D18" s="92">
        <v>15440</v>
      </c>
      <c r="E18" s="92">
        <v>20007</v>
      </c>
      <c r="F18" s="92">
        <v>33476</v>
      </c>
      <c r="G18" s="92">
        <v>43245</v>
      </c>
      <c r="H18" s="92">
        <v>57284</v>
      </c>
      <c r="I18" s="92">
        <v>71994</v>
      </c>
      <c r="J18" s="92">
        <v>73836</v>
      </c>
      <c r="K18" s="92">
        <v>109538</v>
      </c>
      <c r="L18" s="92">
        <v>137679</v>
      </c>
      <c r="M18" s="92">
        <v>159786</v>
      </c>
      <c r="N18" s="92">
        <v>184965</v>
      </c>
      <c r="O18" s="92">
        <v>217623</v>
      </c>
      <c r="P18" s="92">
        <v>248736</v>
      </c>
      <c r="Q18" s="92">
        <v>289356</v>
      </c>
    </row>
    <row r="19" spans="1:17" ht="15" customHeight="1" x14ac:dyDescent="0.15">
      <c r="A19" s="51" t="s">
        <v>105</v>
      </c>
      <c r="B19" s="87" t="s">
        <v>66</v>
      </c>
      <c r="C19" s="87" t="s">
        <v>66</v>
      </c>
      <c r="D19" s="87" t="s">
        <v>66</v>
      </c>
      <c r="E19" s="52">
        <v>7463</v>
      </c>
      <c r="F19" s="52">
        <v>13492</v>
      </c>
      <c r="G19" s="52">
        <v>16504</v>
      </c>
      <c r="H19" s="52">
        <v>17413</v>
      </c>
      <c r="I19" s="52">
        <v>22762</v>
      </c>
      <c r="J19" s="52">
        <v>17894</v>
      </c>
      <c r="K19" s="52">
        <v>41189</v>
      </c>
      <c r="L19" s="52">
        <v>47377</v>
      </c>
      <c r="M19" s="52">
        <v>53874</v>
      </c>
      <c r="N19" s="87" t="s">
        <v>66</v>
      </c>
      <c r="O19" s="87" t="s">
        <v>66</v>
      </c>
      <c r="P19" s="87" t="s">
        <v>66</v>
      </c>
      <c r="Q19" s="87" t="s">
        <v>66</v>
      </c>
    </row>
    <row r="20" spans="1:17" ht="15" customHeight="1" x14ac:dyDescent="0.15">
      <c r="A20" s="49" t="s">
        <v>104</v>
      </c>
      <c r="B20" s="88" t="s">
        <v>66</v>
      </c>
      <c r="C20" s="88" t="s">
        <v>66</v>
      </c>
      <c r="D20" s="88" t="s">
        <v>66</v>
      </c>
      <c r="E20" s="47">
        <v>1945</v>
      </c>
      <c r="F20" s="88" t="s">
        <v>66</v>
      </c>
      <c r="G20" s="47">
        <v>5921</v>
      </c>
      <c r="H20" s="47">
        <v>7269</v>
      </c>
      <c r="I20" s="47">
        <v>14485</v>
      </c>
      <c r="J20" s="47">
        <v>14198</v>
      </c>
      <c r="K20" s="47">
        <v>16832</v>
      </c>
      <c r="L20" s="47">
        <v>25226</v>
      </c>
      <c r="M20" s="47">
        <v>28198</v>
      </c>
      <c r="N20" s="88" t="s">
        <v>66</v>
      </c>
      <c r="O20" s="88" t="s">
        <v>66</v>
      </c>
      <c r="P20" s="88" t="s">
        <v>66</v>
      </c>
      <c r="Q20" s="88" t="s">
        <v>66</v>
      </c>
    </row>
    <row r="21" spans="1:17" ht="15" customHeight="1" x14ac:dyDescent="0.15">
      <c r="A21" s="51" t="s">
        <v>103</v>
      </c>
      <c r="B21" s="87" t="s">
        <v>66</v>
      </c>
      <c r="C21" s="87" t="s">
        <v>66</v>
      </c>
      <c r="D21" s="87" t="s">
        <v>66</v>
      </c>
      <c r="E21" s="52">
        <v>9128</v>
      </c>
      <c r="F21" s="52">
        <v>14189</v>
      </c>
      <c r="G21" s="52">
        <v>18239.599999999999</v>
      </c>
      <c r="H21" s="52">
        <v>22953.5</v>
      </c>
      <c r="I21" s="52">
        <v>31239</v>
      </c>
      <c r="J21" s="52">
        <v>37506</v>
      </c>
      <c r="K21" s="52">
        <v>46916</v>
      </c>
      <c r="L21" s="52">
        <v>65410.5</v>
      </c>
      <c r="M21" s="52">
        <v>76791.5</v>
      </c>
      <c r="N21" s="52">
        <v>99377</v>
      </c>
      <c r="O21" s="52">
        <v>118602</v>
      </c>
      <c r="P21" s="52">
        <v>140497</v>
      </c>
      <c r="Q21" s="52">
        <v>165221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4117-CF58-437C-96CD-44CD8651967C}">
  <sheetPr>
    <outlinePr summaryBelow="0" summaryRight="0"/>
  </sheetPr>
  <dimension ref="A1:L53"/>
  <sheetViews>
    <sheetView zoomScale="170" zoomScaleNormal="170" workbookViewId="0"/>
  </sheetViews>
  <sheetFormatPr baseColWidth="10" defaultColWidth="9.1640625" defaultRowHeight="15" customHeight="1" outlineLevelRow="3" x14ac:dyDescent="0.15"/>
  <cols>
    <col min="1" max="1" width="53.33203125" style="46" customWidth="1"/>
    <col min="2" max="5" width="8.5" style="46" customWidth="1"/>
    <col min="6" max="12" width="9.5" style="46" customWidth="1"/>
    <col min="13" max="16384" width="9.1640625" style="46"/>
  </cols>
  <sheetData>
    <row r="1" spans="1:12" ht="15" customHeight="1" x14ac:dyDescent="0.15">
      <c r="A1" s="54" t="s">
        <v>167</v>
      </c>
    </row>
    <row r="2" spans="1:12" ht="15" customHeight="1" x14ac:dyDescent="0.15">
      <c r="A2" s="74" t="s">
        <v>166</v>
      </c>
    </row>
    <row r="3" spans="1:12" ht="15" customHeight="1" x14ac:dyDescent="0.1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5" spans="1:12" ht="15" customHeight="1" x14ac:dyDescent="0.15">
      <c r="A5" s="53" t="s">
        <v>165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15" customHeight="1" x14ac:dyDescent="0.15">
      <c r="A6" s="53" t="s">
        <v>164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1:12" ht="15" customHeight="1" x14ac:dyDescent="0.15">
      <c r="A7" s="53" t="s">
        <v>163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2" ht="15" customHeight="1" x14ac:dyDescent="0.15">
      <c r="A8" s="53"/>
      <c r="B8" s="53" t="s">
        <v>162</v>
      </c>
      <c r="C8" s="53" t="s">
        <v>161</v>
      </c>
      <c r="D8" s="53" t="s">
        <v>160</v>
      </c>
      <c r="E8" s="53" t="s">
        <v>159</v>
      </c>
      <c r="F8" s="53" t="s">
        <v>158</v>
      </c>
      <c r="G8" s="53" t="s">
        <v>157</v>
      </c>
      <c r="H8" s="53" t="s">
        <v>156</v>
      </c>
      <c r="I8" s="53" t="s">
        <v>155</v>
      </c>
      <c r="J8" s="53" t="s">
        <v>154</v>
      </c>
      <c r="K8" s="53" t="s">
        <v>153</v>
      </c>
      <c r="L8" s="53" t="s">
        <v>152</v>
      </c>
    </row>
    <row r="9" spans="1:12" ht="15" customHeight="1" x14ac:dyDescent="0.1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 t="s">
        <v>151</v>
      </c>
    </row>
    <row r="10" spans="1:12" ht="15" customHeight="1" x14ac:dyDescent="0.15">
      <c r="A10" s="66" t="s">
        <v>110</v>
      </c>
      <c r="B10" s="69">
        <v>88988</v>
      </c>
      <c r="C10" s="69">
        <v>107006</v>
      </c>
      <c r="D10" s="69">
        <v>135987</v>
      </c>
      <c r="E10" s="69">
        <v>177866</v>
      </c>
      <c r="F10" s="69">
        <v>232887</v>
      </c>
      <c r="G10" s="69">
        <v>280522</v>
      </c>
      <c r="H10" s="69">
        <v>386064</v>
      </c>
      <c r="I10" s="69">
        <v>469822</v>
      </c>
      <c r="J10" s="69">
        <v>513983</v>
      </c>
      <c r="K10" s="69">
        <v>574785</v>
      </c>
      <c r="L10" s="69">
        <v>604334</v>
      </c>
    </row>
    <row r="11" spans="1:12" ht="15" customHeight="1" outlineLevel="1" x14ac:dyDescent="0.15">
      <c r="A11" s="63" t="s">
        <v>201</v>
      </c>
      <c r="B11" s="62">
        <v>62752</v>
      </c>
      <c r="C11" s="62">
        <v>71651</v>
      </c>
      <c r="D11" s="62">
        <v>88265</v>
      </c>
      <c r="E11" s="62">
        <v>111934</v>
      </c>
      <c r="F11" s="62">
        <v>139156</v>
      </c>
      <c r="G11" s="62">
        <v>165536</v>
      </c>
      <c r="H11" s="62">
        <v>233307</v>
      </c>
      <c r="I11" s="62">
        <v>272344</v>
      </c>
      <c r="J11" s="62">
        <v>288831</v>
      </c>
      <c r="K11" s="62">
        <v>304739</v>
      </c>
      <c r="L11" s="62">
        <v>313993</v>
      </c>
    </row>
    <row r="12" spans="1:12" ht="15" customHeight="1" outlineLevel="2" x14ac:dyDescent="0.15">
      <c r="A12" s="61" t="s">
        <v>200</v>
      </c>
      <c r="B12" s="47">
        <v>59530</v>
      </c>
      <c r="C12" s="47">
        <v>67109</v>
      </c>
      <c r="D12" s="47">
        <v>82212</v>
      </c>
      <c r="E12" s="47">
        <v>103282</v>
      </c>
      <c r="F12" s="47">
        <v>123815</v>
      </c>
      <c r="G12" s="47">
        <v>143747</v>
      </c>
      <c r="H12" s="47">
        <v>208056</v>
      </c>
      <c r="I12" s="47">
        <v>238048</v>
      </c>
      <c r="J12" s="47">
        <v>246910</v>
      </c>
      <c r="K12" s="47">
        <v>256076</v>
      </c>
      <c r="L12" s="47">
        <v>264320</v>
      </c>
    </row>
    <row r="13" spans="1:12" ht="15" customHeight="1" outlineLevel="2" x14ac:dyDescent="0.15">
      <c r="A13" s="78" t="s">
        <v>168</v>
      </c>
      <c r="B13" s="62">
        <v>3222</v>
      </c>
      <c r="C13" s="62">
        <v>4542</v>
      </c>
      <c r="D13" s="62">
        <v>6053</v>
      </c>
      <c r="E13" s="62">
        <v>8652</v>
      </c>
      <c r="F13" s="62">
        <v>15341</v>
      </c>
      <c r="G13" s="62">
        <v>21789</v>
      </c>
      <c r="H13" s="62">
        <v>25251</v>
      </c>
      <c r="I13" s="62">
        <v>34296</v>
      </c>
      <c r="J13" s="62">
        <v>41921</v>
      </c>
      <c r="K13" s="62">
        <v>48663</v>
      </c>
      <c r="L13" s="62">
        <v>49673</v>
      </c>
    </row>
    <row r="14" spans="1:12" ht="15" customHeight="1" outlineLevel="3" x14ac:dyDescent="0.15">
      <c r="A14" s="67" t="s">
        <v>44</v>
      </c>
      <c r="B14" s="47">
        <v>3041</v>
      </c>
      <c r="C14" s="47">
        <v>4314</v>
      </c>
      <c r="D14" s="47">
        <v>5766</v>
      </c>
      <c r="E14" s="47">
        <v>8286</v>
      </c>
      <c r="F14" s="47">
        <v>14866</v>
      </c>
      <c r="G14" s="47">
        <v>21224</v>
      </c>
      <c r="H14" s="47">
        <v>24742</v>
      </c>
      <c r="I14" s="47">
        <v>33784</v>
      </c>
      <c r="J14" s="47">
        <v>41317</v>
      </c>
      <c r="K14" s="47">
        <v>47957</v>
      </c>
      <c r="L14" s="49"/>
    </row>
    <row r="15" spans="1:12" ht="15" customHeight="1" outlineLevel="3" x14ac:dyDescent="0.15">
      <c r="A15" s="68" t="s">
        <v>199</v>
      </c>
      <c r="B15" s="52">
        <v>181</v>
      </c>
      <c r="C15" s="52">
        <v>228</v>
      </c>
      <c r="D15" s="52">
        <v>287</v>
      </c>
      <c r="E15" s="52">
        <v>366</v>
      </c>
      <c r="F15" s="52">
        <v>475</v>
      </c>
      <c r="G15" s="52">
        <v>565</v>
      </c>
      <c r="H15" s="52">
        <v>509</v>
      </c>
      <c r="I15" s="52">
        <v>512</v>
      </c>
      <c r="J15" s="52">
        <v>604</v>
      </c>
      <c r="K15" s="52">
        <v>706</v>
      </c>
      <c r="L15" s="51"/>
    </row>
    <row r="16" spans="1:12" ht="15" customHeight="1" x14ac:dyDescent="0.15">
      <c r="A16" s="66" t="s">
        <v>198</v>
      </c>
      <c r="B16" s="69">
        <v>26236</v>
      </c>
      <c r="C16" s="69">
        <v>35355</v>
      </c>
      <c r="D16" s="69">
        <v>47722</v>
      </c>
      <c r="E16" s="69">
        <v>65932</v>
      </c>
      <c r="F16" s="69">
        <v>93731</v>
      </c>
      <c r="G16" s="69">
        <v>114986</v>
      </c>
      <c r="H16" s="69">
        <v>152757</v>
      </c>
      <c r="I16" s="69">
        <v>197478</v>
      </c>
      <c r="J16" s="69">
        <v>225152</v>
      </c>
      <c r="K16" s="69">
        <v>270046</v>
      </c>
      <c r="L16" s="69">
        <v>290341</v>
      </c>
    </row>
    <row r="17" spans="1:12" ht="15" customHeight="1" outlineLevel="1" x14ac:dyDescent="0.15">
      <c r="A17" s="63" t="s">
        <v>197</v>
      </c>
      <c r="B17" s="62">
        <v>25925</v>
      </c>
      <c r="C17" s="62">
        <v>32951</v>
      </c>
      <c r="D17" s="62">
        <v>43369</v>
      </c>
      <c r="E17" s="62">
        <v>61612</v>
      </c>
      <c r="F17" s="62">
        <v>81014</v>
      </c>
      <c r="G17" s="62">
        <v>100244</v>
      </c>
      <c r="H17" s="62">
        <v>129933</v>
      </c>
      <c r="I17" s="62">
        <v>172537</v>
      </c>
      <c r="J17" s="62">
        <v>211641</v>
      </c>
      <c r="K17" s="62">
        <v>232427</v>
      </c>
      <c r="L17" s="62">
        <v>235242</v>
      </c>
    </row>
    <row r="18" spans="1:12" ht="15" customHeight="1" outlineLevel="2" x14ac:dyDescent="0.15">
      <c r="A18" s="61" t="s">
        <v>196</v>
      </c>
      <c r="B18" s="47">
        <v>9275</v>
      </c>
      <c r="C18" s="47">
        <v>12540</v>
      </c>
      <c r="D18" s="47">
        <v>16085</v>
      </c>
      <c r="E18" s="47">
        <v>22620</v>
      </c>
      <c r="F18" s="47">
        <v>28837</v>
      </c>
      <c r="G18" s="47">
        <v>35931</v>
      </c>
      <c r="H18" s="47">
        <v>42740</v>
      </c>
      <c r="I18" s="47">
        <v>56052</v>
      </c>
      <c r="J18" s="47">
        <v>73213</v>
      </c>
      <c r="K18" s="47">
        <v>85622</v>
      </c>
      <c r="L18" s="47">
        <v>85969</v>
      </c>
    </row>
    <row r="19" spans="1:12" ht="15" customHeight="1" outlineLevel="2" x14ac:dyDescent="0.15">
      <c r="A19" s="60" t="s">
        <v>195</v>
      </c>
      <c r="B19" s="52">
        <v>16650</v>
      </c>
      <c r="C19" s="52">
        <v>20411</v>
      </c>
      <c r="D19" s="52">
        <v>27284</v>
      </c>
      <c r="E19" s="52">
        <v>38992</v>
      </c>
      <c r="F19" s="52">
        <v>52177</v>
      </c>
      <c r="G19" s="52">
        <v>64313</v>
      </c>
      <c r="H19" s="52">
        <v>87193</v>
      </c>
      <c r="I19" s="52">
        <v>116485</v>
      </c>
      <c r="J19" s="52">
        <v>138428</v>
      </c>
      <c r="K19" s="52">
        <v>146805</v>
      </c>
      <c r="L19" s="52">
        <v>149273</v>
      </c>
    </row>
    <row r="20" spans="1:12" ht="15" customHeight="1" x14ac:dyDescent="0.15">
      <c r="A20" s="66" t="s">
        <v>194</v>
      </c>
      <c r="B20" s="69">
        <v>311</v>
      </c>
      <c r="C20" s="69">
        <v>2404</v>
      </c>
      <c r="D20" s="69">
        <v>4353</v>
      </c>
      <c r="E20" s="69">
        <v>4320</v>
      </c>
      <c r="F20" s="69">
        <v>12717</v>
      </c>
      <c r="G20" s="69">
        <v>14742</v>
      </c>
      <c r="H20" s="69">
        <v>22824</v>
      </c>
      <c r="I20" s="69">
        <v>24941</v>
      </c>
      <c r="J20" s="69">
        <v>13511</v>
      </c>
      <c r="K20" s="69">
        <v>37619</v>
      </c>
      <c r="L20" s="69">
        <v>55099</v>
      </c>
    </row>
    <row r="21" spans="1:12" ht="15" customHeight="1" outlineLevel="1" x14ac:dyDescent="0.15">
      <c r="A21" s="63" t="s">
        <v>193</v>
      </c>
      <c r="B21" s="62">
        <v>-212</v>
      </c>
      <c r="C21" s="62">
        <v>-377</v>
      </c>
      <c r="D21" s="62">
        <v>-44</v>
      </c>
      <c r="E21" s="62">
        <v>225</v>
      </c>
      <c r="F21" s="62">
        <v>92</v>
      </c>
      <c r="G21" s="62">
        <v>823</v>
      </c>
      <c r="H21" s="62">
        <v>1501</v>
      </c>
      <c r="I21" s="62">
        <v>2178</v>
      </c>
      <c r="J21" s="62">
        <v>-1078</v>
      </c>
      <c r="K21" s="62">
        <v>2110</v>
      </c>
      <c r="L21" s="62">
        <v>2758</v>
      </c>
    </row>
    <row r="22" spans="1:12" ht="15" customHeight="1" outlineLevel="2" x14ac:dyDescent="0.15">
      <c r="A22" s="61" t="s">
        <v>192</v>
      </c>
      <c r="B22" s="47">
        <v>39</v>
      </c>
      <c r="C22" s="47">
        <v>50</v>
      </c>
      <c r="D22" s="47">
        <v>100</v>
      </c>
      <c r="E22" s="47">
        <v>202</v>
      </c>
      <c r="F22" s="47">
        <v>440</v>
      </c>
      <c r="G22" s="47">
        <v>832</v>
      </c>
      <c r="H22" s="47">
        <v>555</v>
      </c>
      <c r="I22" s="47">
        <v>448</v>
      </c>
      <c r="J22" s="47">
        <v>989</v>
      </c>
      <c r="K22" s="47">
        <v>2949</v>
      </c>
      <c r="L22" s="47">
        <v>3850</v>
      </c>
    </row>
    <row r="23" spans="1:12" ht="15" customHeight="1" outlineLevel="2" x14ac:dyDescent="0.15">
      <c r="A23" s="60" t="s">
        <v>191</v>
      </c>
      <c r="B23" s="50">
        <v>-251</v>
      </c>
      <c r="C23" s="50">
        <v>-427</v>
      </c>
      <c r="D23" s="50">
        <v>-144</v>
      </c>
      <c r="E23" s="52">
        <v>23</v>
      </c>
      <c r="F23" s="50">
        <v>-348</v>
      </c>
      <c r="G23" s="50">
        <v>-9</v>
      </c>
      <c r="H23" s="52">
        <v>946</v>
      </c>
      <c r="I23" s="52">
        <v>1730</v>
      </c>
      <c r="J23" s="50">
        <v>-2067</v>
      </c>
      <c r="K23" s="50">
        <v>-839</v>
      </c>
      <c r="L23" s="50">
        <v>-1092</v>
      </c>
    </row>
    <row r="24" spans="1:12" ht="15" customHeight="1" outlineLevel="1" x14ac:dyDescent="0.15">
      <c r="A24" s="71" t="s">
        <v>33</v>
      </c>
      <c r="B24" s="69">
        <v>210</v>
      </c>
      <c r="C24" s="69">
        <v>459</v>
      </c>
      <c r="D24" s="69">
        <v>484</v>
      </c>
      <c r="E24" s="69">
        <v>848</v>
      </c>
      <c r="F24" s="69">
        <v>1417</v>
      </c>
      <c r="G24" s="69">
        <v>1600</v>
      </c>
      <c r="H24" s="69">
        <v>1647</v>
      </c>
      <c r="I24" s="69">
        <v>1809</v>
      </c>
      <c r="J24" s="69">
        <v>2367</v>
      </c>
      <c r="K24" s="69">
        <v>3182</v>
      </c>
      <c r="L24" s="69">
        <v>2752</v>
      </c>
    </row>
    <row r="25" spans="1:12" ht="15" customHeight="1" outlineLevel="2" x14ac:dyDescent="0.15">
      <c r="A25" s="60" t="s">
        <v>190</v>
      </c>
      <c r="B25" s="52">
        <v>210</v>
      </c>
      <c r="C25" s="52">
        <v>459</v>
      </c>
      <c r="D25" s="52">
        <v>484</v>
      </c>
      <c r="E25" s="52">
        <v>848</v>
      </c>
      <c r="F25" s="52">
        <v>1417</v>
      </c>
      <c r="G25" s="52">
        <v>1600</v>
      </c>
      <c r="H25" s="52">
        <v>1647</v>
      </c>
      <c r="I25" s="52">
        <v>1809</v>
      </c>
      <c r="J25" s="52">
        <v>2367</v>
      </c>
      <c r="K25" s="52">
        <v>3182</v>
      </c>
      <c r="L25" s="52">
        <v>2752</v>
      </c>
    </row>
    <row r="26" spans="1:12" ht="15" customHeight="1" outlineLevel="1" x14ac:dyDescent="0.15">
      <c r="A26" s="71" t="s">
        <v>189</v>
      </c>
      <c r="B26" s="66"/>
      <c r="C26" s="66"/>
      <c r="D26" s="69">
        <v>-67</v>
      </c>
      <c r="E26" s="69">
        <v>-109</v>
      </c>
      <c r="F26" s="69">
        <v>131</v>
      </c>
      <c r="G26" s="69">
        <v>-11</v>
      </c>
      <c r="H26" s="69">
        <v>-1500</v>
      </c>
      <c r="I26" s="69">
        <v>-12841</v>
      </c>
      <c r="J26" s="69">
        <v>16002</v>
      </c>
      <c r="K26" s="69">
        <v>-1010</v>
      </c>
      <c r="L26" s="69">
        <v>1002</v>
      </c>
    </row>
    <row r="27" spans="1:12" ht="15" customHeight="1" outlineLevel="2" x14ac:dyDescent="0.15">
      <c r="A27" s="78" t="s">
        <v>188</v>
      </c>
      <c r="B27" s="72"/>
      <c r="C27" s="72"/>
      <c r="D27" s="62">
        <v>67</v>
      </c>
      <c r="E27" s="62">
        <v>109</v>
      </c>
      <c r="F27" s="62">
        <v>-131</v>
      </c>
      <c r="G27" s="62">
        <v>11</v>
      </c>
      <c r="H27" s="62">
        <v>1500</v>
      </c>
      <c r="I27" s="62">
        <v>12841</v>
      </c>
      <c r="J27" s="62">
        <v>-16002</v>
      </c>
      <c r="K27" s="62">
        <v>1010</v>
      </c>
      <c r="L27" s="62">
        <v>-832</v>
      </c>
    </row>
    <row r="28" spans="1:12" ht="15" customHeight="1" outlineLevel="3" x14ac:dyDescent="0.15">
      <c r="A28" s="67" t="s">
        <v>187</v>
      </c>
      <c r="B28" s="49"/>
      <c r="C28" s="49"/>
      <c r="D28" s="49"/>
      <c r="E28" s="49"/>
      <c r="F28" s="49"/>
      <c r="G28" s="49"/>
      <c r="H28" s="49"/>
      <c r="I28" s="47">
        <v>11526</v>
      </c>
      <c r="J28" s="48">
        <v>-13870</v>
      </c>
      <c r="K28" s="47">
        <v>984</v>
      </c>
      <c r="L28" s="48">
        <v>-518</v>
      </c>
    </row>
    <row r="29" spans="1:12" ht="15" customHeight="1" outlineLevel="3" x14ac:dyDescent="0.15">
      <c r="A29" s="68" t="s">
        <v>186</v>
      </c>
      <c r="B29" s="51"/>
      <c r="C29" s="51"/>
      <c r="D29" s="52">
        <v>67</v>
      </c>
      <c r="E29" s="52">
        <v>109</v>
      </c>
      <c r="F29" s="50">
        <v>-131</v>
      </c>
      <c r="G29" s="52">
        <v>11</v>
      </c>
      <c r="H29" s="52">
        <v>1500</v>
      </c>
      <c r="I29" s="52">
        <v>1315</v>
      </c>
      <c r="J29" s="50">
        <v>-2132</v>
      </c>
      <c r="K29" s="52">
        <v>26</v>
      </c>
      <c r="L29" s="50">
        <v>-314</v>
      </c>
    </row>
    <row r="30" spans="1:12" ht="15" customHeight="1" x14ac:dyDescent="0.15">
      <c r="A30" s="66" t="s">
        <v>185</v>
      </c>
      <c r="B30" s="69">
        <v>-111</v>
      </c>
      <c r="C30" s="69">
        <v>1568</v>
      </c>
      <c r="D30" s="69">
        <v>3892</v>
      </c>
      <c r="E30" s="69">
        <v>3806</v>
      </c>
      <c r="F30" s="69">
        <v>11261</v>
      </c>
      <c r="G30" s="69">
        <v>13976</v>
      </c>
      <c r="H30" s="69">
        <v>24178</v>
      </c>
      <c r="I30" s="69">
        <v>38151</v>
      </c>
      <c r="J30" s="69">
        <v>-5936</v>
      </c>
      <c r="K30" s="69">
        <v>37557</v>
      </c>
      <c r="L30" s="69">
        <v>54103</v>
      </c>
    </row>
    <row r="31" spans="1:12" ht="15" customHeight="1" outlineLevel="1" x14ac:dyDescent="0.15">
      <c r="A31" s="63" t="s">
        <v>184</v>
      </c>
      <c r="B31" s="62">
        <v>167</v>
      </c>
      <c r="C31" s="62">
        <v>950</v>
      </c>
      <c r="D31" s="62">
        <v>1425</v>
      </c>
      <c r="E31" s="62">
        <v>769</v>
      </c>
      <c r="F31" s="62">
        <v>1197</v>
      </c>
      <c r="G31" s="62">
        <v>2374</v>
      </c>
      <c r="H31" s="62">
        <v>2863</v>
      </c>
      <c r="I31" s="62">
        <v>4791</v>
      </c>
      <c r="J31" s="62">
        <v>-3217</v>
      </c>
      <c r="K31" s="62">
        <v>7120</v>
      </c>
      <c r="L31" s="62">
        <v>9602</v>
      </c>
    </row>
    <row r="32" spans="1:12" ht="15" customHeight="1" outlineLevel="2" x14ac:dyDescent="0.15">
      <c r="A32" s="61" t="s">
        <v>183</v>
      </c>
      <c r="B32" s="47">
        <v>279</v>
      </c>
      <c r="C32" s="47">
        <v>452</v>
      </c>
      <c r="D32" s="47">
        <v>1344</v>
      </c>
      <c r="E32" s="47">
        <v>74</v>
      </c>
      <c r="F32" s="47">
        <v>193</v>
      </c>
      <c r="G32" s="47">
        <v>438</v>
      </c>
      <c r="H32" s="47">
        <v>2461</v>
      </c>
      <c r="I32" s="47">
        <v>2892</v>
      </c>
      <c r="J32" s="47">
        <v>3249</v>
      </c>
      <c r="K32" s="47">
        <v>10810</v>
      </c>
      <c r="L32" s="49"/>
    </row>
    <row r="33" spans="1:12" ht="15" customHeight="1" outlineLevel="2" x14ac:dyDescent="0.15">
      <c r="A33" s="60" t="s">
        <v>182</v>
      </c>
      <c r="B33" s="52">
        <v>204</v>
      </c>
      <c r="C33" s="52">
        <v>417</v>
      </c>
      <c r="D33" s="52">
        <v>327</v>
      </c>
      <c r="E33" s="52">
        <v>724</v>
      </c>
      <c r="F33" s="52">
        <v>563</v>
      </c>
      <c r="G33" s="52">
        <v>1140</v>
      </c>
      <c r="H33" s="52">
        <v>956</v>
      </c>
      <c r="I33" s="52">
        <v>2209</v>
      </c>
      <c r="J33" s="52">
        <v>1682</v>
      </c>
      <c r="K33" s="52">
        <v>2186</v>
      </c>
      <c r="L33" s="51"/>
    </row>
    <row r="34" spans="1:12" ht="15" customHeight="1" outlineLevel="2" x14ac:dyDescent="0.15">
      <c r="A34" s="61" t="s">
        <v>181</v>
      </c>
      <c r="B34" s="48">
        <v>-136</v>
      </c>
      <c r="C34" s="47">
        <v>302</v>
      </c>
      <c r="D34" s="47">
        <v>85</v>
      </c>
      <c r="E34" s="48">
        <v>-228</v>
      </c>
      <c r="F34" s="47">
        <v>570</v>
      </c>
      <c r="G34" s="47">
        <v>922</v>
      </c>
      <c r="H34" s="48">
        <v>-341</v>
      </c>
      <c r="I34" s="48">
        <v>-23</v>
      </c>
      <c r="J34" s="48">
        <v>-7988</v>
      </c>
      <c r="K34" s="48">
        <v>-6003</v>
      </c>
      <c r="L34" s="49"/>
    </row>
    <row r="35" spans="1:12" ht="15" customHeight="1" outlineLevel="2" x14ac:dyDescent="0.15">
      <c r="A35" s="60" t="s">
        <v>180</v>
      </c>
      <c r="B35" s="50">
        <v>-180</v>
      </c>
      <c r="C35" s="50">
        <v>-221</v>
      </c>
      <c r="D35" s="50">
        <v>-331</v>
      </c>
      <c r="E35" s="52">
        <v>199</v>
      </c>
      <c r="F35" s="50">
        <v>-129</v>
      </c>
      <c r="G35" s="50">
        <v>-126</v>
      </c>
      <c r="H35" s="50">
        <v>-213</v>
      </c>
      <c r="I35" s="50">
        <v>-287</v>
      </c>
      <c r="J35" s="50">
        <v>-160</v>
      </c>
      <c r="K35" s="52">
        <v>127</v>
      </c>
      <c r="L35" s="51"/>
    </row>
    <row r="36" spans="1:12" ht="15" customHeight="1" outlineLevel="1" x14ac:dyDescent="0.15">
      <c r="A36" s="64" t="s">
        <v>179</v>
      </c>
      <c r="B36" s="47">
        <v>37</v>
      </c>
      <c r="C36" s="48">
        <v>-22</v>
      </c>
      <c r="D36" s="48">
        <v>-96</v>
      </c>
      <c r="E36" s="48">
        <v>-4</v>
      </c>
      <c r="F36" s="47">
        <v>9</v>
      </c>
      <c r="G36" s="48">
        <v>-14</v>
      </c>
      <c r="H36" s="47">
        <v>16</v>
      </c>
      <c r="I36" s="47">
        <v>4</v>
      </c>
      <c r="J36" s="48">
        <v>-3</v>
      </c>
      <c r="K36" s="48">
        <v>-12</v>
      </c>
      <c r="L36" s="48">
        <v>-82</v>
      </c>
    </row>
    <row r="37" spans="1:12" ht="15" customHeight="1" x14ac:dyDescent="0.15">
      <c r="A37" s="51" t="s">
        <v>178</v>
      </c>
      <c r="B37" s="50">
        <v>-241</v>
      </c>
      <c r="C37" s="52">
        <v>596</v>
      </c>
      <c r="D37" s="52">
        <v>2371</v>
      </c>
      <c r="E37" s="52">
        <v>3033</v>
      </c>
      <c r="F37" s="52">
        <v>10073</v>
      </c>
      <c r="G37" s="52">
        <v>11588</v>
      </c>
      <c r="H37" s="52">
        <v>21331</v>
      </c>
      <c r="I37" s="52">
        <v>33364</v>
      </c>
      <c r="J37" s="50">
        <v>-2722</v>
      </c>
      <c r="K37" s="52">
        <v>30425</v>
      </c>
      <c r="L37" s="52">
        <v>44419</v>
      </c>
    </row>
    <row r="38" spans="1:12" ht="15" customHeight="1" x14ac:dyDescent="0.15">
      <c r="A38" s="66" t="s">
        <v>36</v>
      </c>
      <c r="B38" s="69">
        <v>-241</v>
      </c>
      <c r="C38" s="69">
        <v>596</v>
      </c>
      <c r="D38" s="69">
        <v>2371</v>
      </c>
      <c r="E38" s="69">
        <v>3033</v>
      </c>
      <c r="F38" s="69">
        <v>10073</v>
      </c>
      <c r="G38" s="69">
        <v>11588</v>
      </c>
      <c r="H38" s="69">
        <v>21331</v>
      </c>
      <c r="I38" s="69">
        <v>33364</v>
      </c>
      <c r="J38" s="69">
        <v>-2722</v>
      </c>
      <c r="K38" s="69">
        <v>30425</v>
      </c>
      <c r="L38" s="69">
        <v>44419</v>
      </c>
    </row>
    <row r="39" spans="1:12" ht="15" customHeight="1" outlineLevel="1" x14ac:dyDescent="0.15">
      <c r="A39" s="65" t="s">
        <v>177</v>
      </c>
      <c r="B39" s="50">
        <v>-241</v>
      </c>
      <c r="C39" s="52">
        <v>596</v>
      </c>
      <c r="D39" s="52">
        <v>2371</v>
      </c>
      <c r="E39" s="52">
        <v>3033</v>
      </c>
      <c r="F39" s="52">
        <v>10073</v>
      </c>
      <c r="G39" s="52">
        <v>11588</v>
      </c>
      <c r="H39" s="52">
        <v>21331</v>
      </c>
      <c r="I39" s="52">
        <v>33364</v>
      </c>
      <c r="J39" s="50">
        <v>-2722</v>
      </c>
      <c r="K39" s="52">
        <v>30425</v>
      </c>
      <c r="L39" s="52">
        <v>44419</v>
      </c>
    </row>
    <row r="40" spans="1:12" ht="15" customHeight="1" x14ac:dyDescent="0.15">
      <c r="A40" s="66" t="s">
        <v>176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</row>
    <row r="41" spans="1:12" ht="15" customHeight="1" outlineLevel="1" x14ac:dyDescent="0.15">
      <c r="A41" s="65" t="s">
        <v>175</v>
      </c>
      <c r="B41" s="59">
        <v>-2.6082000000000001E-2</v>
      </c>
      <c r="C41" s="58">
        <v>6.2474000000000002E-2</v>
      </c>
      <c r="D41" s="58">
        <v>0.240093</v>
      </c>
      <c r="E41" s="58">
        <v>0.29986800000000002</v>
      </c>
      <c r="F41" s="58">
        <v>1.01647</v>
      </c>
      <c r="G41" s="58">
        <v>1.1488389999999999</v>
      </c>
      <c r="H41" s="58">
        <v>1.9883329999999999</v>
      </c>
      <c r="I41" s="58">
        <v>2.3665340000000001</v>
      </c>
      <c r="J41" s="58">
        <v>0.83221100000000003</v>
      </c>
      <c r="K41" s="58">
        <v>2.8324440000000002</v>
      </c>
      <c r="L41" s="58">
        <v>4.2137089999999997</v>
      </c>
    </row>
    <row r="42" spans="1:12" ht="15" customHeight="1" outlineLevel="1" x14ac:dyDescent="0.15">
      <c r="A42" s="71" t="s">
        <v>174</v>
      </c>
      <c r="B42" s="77">
        <v>-2.5999999999999999E-2</v>
      </c>
      <c r="C42" s="77">
        <v>6.4000000000000001E-2</v>
      </c>
      <c r="D42" s="77">
        <v>0.25009999999999999</v>
      </c>
      <c r="E42" s="77">
        <v>0.316</v>
      </c>
      <c r="F42" s="77">
        <v>1.034</v>
      </c>
      <c r="G42" s="77">
        <v>1.1729000000000001</v>
      </c>
      <c r="H42" s="77">
        <v>2.1331000000000002</v>
      </c>
      <c r="I42" s="77">
        <v>3.2968000000000002</v>
      </c>
      <c r="J42" s="77">
        <v>-0.26719999999999999</v>
      </c>
      <c r="K42" s="77">
        <v>2.9527000000000001</v>
      </c>
      <c r="L42" s="77">
        <v>4.2774000000000001</v>
      </c>
    </row>
    <row r="43" spans="1:12" ht="15" customHeight="1" outlineLevel="2" x14ac:dyDescent="0.15">
      <c r="A43" s="60" t="s">
        <v>173</v>
      </c>
      <c r="B43" s="58">
        <v>9240</v>
      </c>
      <c r="C43" s="58">
        <v>9340</v>
      </c>
      <c r="D43" s="58">
        <v>9480</v>
      </c>
      <c r="E43" s="58">
        <v>9600</v>
      </c>
      <c r="F43" s="58">
        <v>9740</v>
      </c>
      <c r="G43" s="58">
        <v>9880</v>
      </c>
      <c r="H43" s="58">
        <v>10000</v>
      </c>
      <c r="I43" s="58">
        <v>10120</v>
      </c>
      <c r="J43" s="58">
        <v>10189</v>
      </c>
      <c r="K43" s="58">
        <v>10304</v>
      </c>
      <c r="L43" s="58">
        <v>10447</v>
      </c>
    </row>
    <row r="44" spans="1:12" ht="15" customHeight="1" outlineLevel="2" x14ac:dyDescent="0.15">
      <c r="A44" s="61" t="s">
        <v>170</v>
      </c>
      <c r="B44" s="75">
        <v>9300</v>
      </c>
      <c r="C44" s="75">
        <v>9420</v>
      </c>
      <c r="D44" s="75">
        <v>9540</v>
      </c>
      <c r="E44" s="75">
        <v>9680</v>
      </c>
      <c r="F44" s="75">
        <v>9820</v>
      </c>
      <c r="G44" s="75">
        <v>9960</v>
      </c>
      <c r="H44" s="75">
        <v>10060</v>
      </c>
      <c r="I44" s="75">
        <v>10180</v>
      </c>
      <c r="J44" s="75">
        <v>10242</v>
      </c>
      <c r="K44" s="75">
        <v>10383</v>
      </c>
      <c r="L44" s="75">
        <v>10490</v>
      </c>
    </row>
    <row r="45" spans="1:12" ht="15" customHeight="1" outlineLevel="1" x14ac:dyDescent="0.15">
      <c r="A45" s="63" t="s">
        <v>172</v>
      </c>
      <c r="B45" s="76">
        <v>-2.5999999999999999E-2</v>
      </c>
      <c r="C45" s="76">
        <v>6.25E-2</v>
      </c>
      <c r="D45" s="76">
        <v>0.245</v>
      </c>
      <c r="E45" s="76">
        <v>0.3075</v>
      </c>
      <c r="F45" s="76">
        <v>1.0073000000000001</v>
      </c>
      <c r="G45" s="76">
        <v>1.1496</v>
      </c>
      <c r="H45" s="76">
        <v>2.0912999999999999</v>
      </c>
      <c r="I45" s="76">
        <v>3.2391999999999999</v>
      </c>
      <c r="J45" s="76">
        <v>-0.26719999999999999</v>
      </c>
      <c r="K45" s="76">
        <v>2.8997999999999999</v>
      </c>
      <c r="L45" s="76">
        <v>4.1738999999999997</v>
      </c>
    </row>
    <row r="46" spans="1:12" ht="15" customHeight="1" outlineLevel="2" x14ac:dyDescent="0.15">
      <c r="A46" s="61" t="s">
        <v>171</v>
      </c>
      <c r="B46" s="75">
        <v>9240</v>
      </c>
      <c r="C46" s="75">
        <v>9540</v>
      </c>
      <c r="D46" s="75">
        <v>9680</v>
      </c>
      <c r="E46" s="75">
        <v>9860</v>
      </c>
      <c r="F46" s="75">
        <v>10000</v>
      </c>
      <c r="G46" s="75">
        <v>10080</v>
      </c>
      <c r="H46" s="75">
        <v>10200</v>
      </c>
      <c r="I46" s="75">
        <v>10300</v>
      </c>
      <c r="J46" s="75">
        <v>10189</v>
      </c>
      <c r="K46" s="75">
        <v>10492</v>
      </c>
      <c r="L46" s="75">
        <v>10708</v>
      </c>
    </row>
    <row r="47" spans="1:12" ht="15" customHeight="1" outlineLevel="2" x14ac:dyDescent="0.15">
      <c r="A47" s="60" t="s">
        <v>170</v>
      </c>
      <c r="B47" s="58">
        <v>9300</v>
      </c>
      <c r="C47" s="58">
        <v>9420</v>
      </c>
      <c r="D47" s="58">
        <v>9540</v>
      </c>
      <c r="E47" s="58">
        <v>9680</v>
      </c>
      <c r="F47" s="58">
        <v>9820</v>
      </c>
      <c r="G47" s="58">
        <v>9960</v>
      </c>
      <c r="H47" s="58">
        <v>10060</v>
      </c>
      <c r="I47" s="58">
        <v>10180</v>
      </c>
      <c r="J47" s="58">
        <v>10242</v>
      </c>
      <c r="K47" s="58">
        <v>10383</v>
      </c>
      <c r="L47" s="58">
        <v>10490</v>
      </c>
    </row>
    <row r="48" spans="1:12" ht="15" customHeight="1" outlineLevel="1" x14ac:dyDescent="0.15">
      <c r="A48" s="64" t="s">
        <v>169</v>
      </c>
      <c r="B48" s="75">
        <v>63.042000000000002</v>
      </c>
      <c r="C48" s="75">
        <v>70.867999999999995</v>
      </c>
      <c r="D48" s="75">
        <v>74.055000000000007</v>
      </c>
      <c r="E48" s="75">
        <v>57.155000000000001</v>
      </c>
      <c r="F48" s="75">
        <v>76.614000000000004</v>
      </c>
      <c r="G48" s="75">
        <v>74.36</v>
      </c>
      <c r="H48" s="75">
        <v>77.337999999999994</v>
      </c>
      <c r="I48" s="75">
        <v>68.89</v>
      </c>
      <c r="J48" s="75">
        <v>79.504000000000005</v>
      </c>
      <c r="K48" s="75">
        <v>85.314999999999998</v>
      </c>
      <c r="L48" s="49"/>
    </row>
    <row r="49" spans="1:12" ht="15" customHeight="1" x14ac:dyDescent="0.15">
      <c r="A49" s="72" t="s">
        <v>39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</row>
    <row r="50" spans="1:12" ht="15" customHeight="1" outlineLevel="1" x14ac:dyDescent="0.15">
      <c r="A50" s="71" t="s">
        <v>39</v>
      </c>
      <c r="B50" s="69">
        <v>3533</v>
      </c>
      <c r="C50" s="69">
        <v>6946</v>
      </c>
      <c r="D50" s="69">
        <v>10406</v>
      </c>
      <c r="E50" s="69">
        <v>12972</v>
      </c>
      <c r="F50" s="69">
        <v>28058</v>
      </c>
      <c r="G50" s="69">
        <v>36531</v>
      </c>
      <c r="H50" s="69">
        <v>48075</v>
      </c>
      <c r="I50" s="69">
        <v>59237</v>
      </c>
      <c r="J50" s="69">
        <v>55432</v>
      </c>
      <c r="K50" s="69">
        <v>86282</v>
      </c>
      <c r="L50" s="69">
        <v>104772</v>
      </c>
    </row>
    <row r="51" spans="1:12" ht="15" customHeight="1" outlineLevel="2" x14ac:dyDescent="0.15">
      <c r="A51" s="60" t="s">
        <v>32</v>
      </c>
      <c r="B51" s="52">
        <v>311</v>
      </c>
      <c r="C51" s="52">
        <v>2404</v>
      </c>
      <c r="D51" s="52">
        <v>4353</v>
      </c>
      <c r="E51" s="52">
        <v>4320</v>
      </c>
      <c r="F51" s="52">
        <v>12717</v>
      </c>
      <c r="G51" s="52">
        <v>14742</v>
      </c>
      <c r="H51" s="52">
        <v>22824</v>
      </c>
      <c r="I51" s="52">
        <v>24941</v>
      </c>
      <c r="J51" s="52">
        <v>13511</v>
      </c>
      <c r="K51" s="52">
        <v>37619</v>
      </c>
      <c r="L51" s="52">
        <v>55099</v>
      </c>
    </row>
    <row r="52" spans="1:12" ht="15" customHeight="1" outlineLevel="2" x14ac:dyDescent="0.15">
      <c r="A52" s="61" t="s">
        <v>168</v>
      </c>
      <c r="B52" s="47">
        <v>3222</v>
      </c>
      <c r="C52" s="47">
        <v>4542</v>
      </c>
      <c r="D52" s="47">
        <v>6053</v>
      </c>
      <c r="E52" s="47">
        <v>8652</v>
      </c>
      <c r="F52" s="47">
        <v>15341</v>
      </c>
      <c r="G52" s="47">
        <v>21789</v>
      </c>
      <c r="H52" s="47">
        <v>25251</v>
      </c>
      <c r="I52" s="47">
        <v>34296</v>
      </c>
      <c r="J52" s="47">
        <v>41921</v>
      </c>
      <c r="K52" s="47">
        <v>48663</v>
      </c>
      <c r="L52" s="47">
        <v>49673</v>
      </c>
    </row>
    <row r="53" spans="1:12" ht="15" customHeight="1" x14ac:dyDescent="0.15">
      <c r="A53" s="57" t="s">
        <v>112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690D-1137-4D1D-AFB2-FBFC6C311D89}">
  <sheetPr>
    <outlinePr summaryBelow="0" summaryRight="0"/>
  </sheetPr>
  <dimension ref="A1:L52"/>
  <sheetViews>
    <sheetView zoomScale="170" zoomScaleNormal="170" workbookViewId="0"/>
  </sheetViews>
  <sheetFormatPr baseColWidth="10" defaultColWidth="9.1640625" defaultRowHeight="15" customHeight="1" outlineLevelRow="3" x14ac:dyDescent="0.15"/>
  <cols>
    <col min="1" max="1" width="53.33203125" style="46" customWidth="1"/>
    <col min="2" max="11" width="8" style="46" customWidth="1"/>
    <col min="12" max="12" width="7.83203125" style="46" customWidth="1"/>
    <col min="13" max="16384" width="9.1640625" style="46"/>
  </cols>
  <sheetData>
    <row r="1" spans="1:12" ht="15" customHeight="1" x14ac:dyDescent="0.15">
      <c r="A1" s="54" t="s">
        <v>167</v>
      </c>
    </row>
    <row r="2" spans="1:12" ht="15" customHeight="1" x14ac:dyDescent="0.15">
      <c r="A2" s="74" t="s">
        <v>166</v>
      </c>
    </row>
    <row r="3" spans="1:12" ht="15" customHeight="1" x14ac:dyDescent="0.1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5" spans="1:12" ht="15" customHeight="1" x14ac:dyDescent="0.15">
      <c r="A5" s="53" t="s">
        <v>165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15" customHeight="1" x14ac:dyDescent="0.15">
      <c r="A6" s="53" t="s">
        <v>164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1:12" ht="15" customHeight="1" x14ac:dyDescent="0.15">
      <c r="A7" s="53" t="s">
        <v>163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2" ht="15" customHeight="1" x14ac:dyDescent="0.15">
      <c r="A8" s="53"/>
      <c r="B8" s="53" t="s">
        <v>162</v>
      </c>
      <c r="C8" s="53" t="s">
        <v>161</v>
      </c>
      <c r="D8" s="53" t="s">
        <v>160</v>
      </c>
      <c r="E8" s="53" t="s">
        <v>159</v>
      </c>
      <c r="F8" s="53" t="s">
        <v>158</v>
      </c>
      <c r="G8" s="53" t="s">
        <v>157</v>
      </c>
      <c r="H8" s="53" t="s">
        <v>156</v>
      </c>
      <c r="I8" s="53" t="s">
        <v>155</v>
      </c>
      <c r="J8" s="53" t="s">
        <v>154</v>
      </c>
      <c r="K8" s="53" t="s">
        <v>153</v>
      </c>
      <c r="L8" s="53" t="s">
        <v>152</v>
      </c>
    </row>
    <row r="9" spans="1:12" ht="15" customHeight="1" x14ac:dyDescent="0.1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 t="s">
        <v>151</v>
      </c>
    </row>
    <row r="10" spans="1:12" ht="15" customHeight="1" x14ac:dyDescent="0.15">
      <c r="A10" s="66" t="s">
        <v>150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</row>
    <row r="11" spans="1:12" ht="15" customHeight="1" outlineLevel="1" x14ac:dyDescent="0.15">
      <c r="A11" s="65" t="s">
        <v>149</v>
      </c>
      <c r="B11" s="50">
        <v>-241</v>
      </c>
      <c r="C11" s="52">
        <v>596</v>
      </c>
      <c r="D11" s="52">
        <v>2371</v>
      </c>
      <c r="E11" s="52">
        <v>3033</v>
      </c>
      <c r="F11" s="52">
        <v>10073</v>
      </c>
      <c r="G11" s="52">
        <v>11588</v>
      </c>
      <c r="H11" s="52">
        <v>21331</v>
      </c>
      <c r="I11" s="52">
        <v>33364</v>
      </c>
      <c r="J11" s="50">
        <v>-2722</v>
      </c>
      <c r="K11" s="52">
        <v>30425</v>
      </c>
      <c r="L11" s="52">
        <v>44419</v>
      </c>
    </row>
    <row r="12" spans="1:12" ht="15" customHeight="1" outlineLevel="1" x14ac:dyDescent="0.15">
      <c r="A12" s="71" t="s">
        <v>148</v>
      </c>
      <c r="B12" s="69">
        <v>4187</v>
      </c>
      <c r="C12" s="69">
        <v>5646</v>
      </c>
      <c r="D12" s="69">
        <v>7482</v>
      </c>
      <c r="E12" s="69">
        <v>10933</v>
      </c>
      <c r="F12" s="69">
        <v>15341</v>
      </c>
      <c r="G12" s="69">
        <v>21789</v>
      </c>
      <c r="H12" s="69">
        <v>25251</v>
      </c>
      <c r="I12" s="69">
        <v>34296</v>
      </c>
      <c r="J12" s="69">
        <v>41921</v>
      </c>
      <c r="K12" s="69">
        <v>48663</v>
      </c>
      <c r="L12" s="69">
        <v>49673</v>
      </c>
    </row>
    <row r="13" spans="1:12" ht="15" customHeight="1" outlineLevel="2" x14ac:dyDescent="0.15">
      <c r="A13" s="60" t="s">
        <v>147</v>
      </c>
      <c r="B13" s="51"/>
      <c r="C13" s="51"/>
      <c r="D13" s="51"/>
      <c r="E13" s="51"/>
      <c r="F13" s="52">
        <v>14866</v>
      </c>
      <c r="G13" s="52">
        <v>21224</v>
      </c>
      <c r="H13" s="52">
        <v>24742</v>
      </c>
      <c r="I13" s="52">
        <v>33784</v>
      </c>
      <c r="J13" s="52">
        <v>41317</v>
      </c>
      <c r="K13" s="52">
        <v>47957</v>
      </c>
      <c r="L13" s="51"/>
    </row>
    <row r="14" spans="1:12" ht="15" customHeight="1" outlineLevel="2" x14ac:dyDescent="0.15">
      <c r="A14" s="61" t="s">
        <v>146</v>
      </c>
      <c r="B14" s="49"/>
      <c r="C14" s="49"/>
      <c r="D14" s="49"/>
      <c r="E14" s="49"/>
      <c r="F14" s="47">
        <v>475</v>
      </c>
      <c r="G14" s="47">
        <v>565</v>
      </c>
      <c r="H14" s="47">
        <v>509</v>
      </c>
      <c r="I14" s="47">
        <v>512</v>
      </c>
      <c r="J14" s="47">
        <v>604</v>
      </c>
      <c r="K14" s="47">
        <v>706</v>
      </c>
      <c r="L14" s="49"/>
    </row>
    <row r="15" spans="1:12" ht="15" customHeight="1" outlineLevel="1" x14ac:dyDescent="0.15">
      <c r="A15" s="63" t="s">
        <v>145</v>
      </c>
      <c r="B15" s="62">
        <v>-316</v>
      </c>
      <c r="C15" s="62">
        <v>81</v>
      </c>
      <c r="D15" s="62">
        <v>-246</v>
      </c>
      <c r="E15" s="62">
        <v>-29</v>
      </c>
      <c r="F15" s="62">
        <v>441</v>
      </c>
      <c r="G15" s="62">
        <v>796</v>
      </c>
      <c r="H15" s="62">
        <v>-554</v>
      </c>
      <c r="I15" s="62">
        <v>-310</v>
      </c>
      <c r="J15" s="62">
        <v>-8148</v>
      </c>
      <c r="K15" s="62">
        <v>-5876</v>
      </c>
      <c r="L15" s="62">
        <v>-4383</v>
      </c>
    </row>
    <row r="16" spans="1:12" ht="15" customHeight="1" outlineLevel="2" x14ac:dyDescent="0.15">
      <c r="A16" s="61" t="s">
        <v>144</v>
      </c>
      <c r="B16" s="48">
        <v>-316</v>
      </c>
      <c r="C16" s="47">
        <v>81</v>
      </c>
      <c r="D16" s="48">
        <v>-246</v>
      </c>
      <c r="E16" s="48">
        <v>-29</v>
      </c>
      <c r="F16" s="47">
        <v>441</v>
      </c>
      <c r="G16" s="47">
        <v>796</v>
      </c>
      <c r="H16" s="48">
        <v>-554</v>
      </c>
      <c r="I16" s="48">
        <v>-310</v>
      </c>
      <c r="J16" s="48">
        <v>-8148</v>
      </c>
      <c r="K16" s="48">
        <v>-5876</v>
      </c>
      <c r="L16" s="48">
        <v>-4383</v>
      </c>
    </row>
    <row r="17" spans="1:12" ht="15" customHeight="1" outlineLevel="1" x14ac:dyDescent="0.15">
      <c r="A17" s="65" t="s">
        <v>119</v>
      </c>
      <c r="B17" s="52">
        <v>2238</v>
      </c>
      <c r="C17" s="52">
        <v>3040</v>
      </c>
      <c r="D17" s="52">
        <v>2920</v>
      </c>
      <c r="E17" s="52">
        <v>4670</v>
      </c>
      <c r="F17" s="52">
        <v>5911</v>
      </c>
      <c r="G17" s="52">
        <v>6779</v>
      </c>
      <c r="H17" s="52">
        <v>6555</v>
      </c>
      <c r="I17" s="50">
        <v>-1412</v>
      </c>
      <c r="J17" s="52">
        <v>36587</v>
      </c>
      <c r="K17" s="52">
        <v>23275</v>
      </c>
      <c r="L17" s="52">
        <v>25141</v>
      </c>
    </row>
    <row r="18" spans="1:12" ht="15" customHeight="1" outlineLevel="1" x14ac:dyDescent="0.15">
      <c r="A18" s="64" t="s">
        <v>143</v>
      </c>
      <c r="B18" s="47">
        <v>5868</v>
      </c>
      <c r="C18" s="47">
        <v>9363</v>
      </c>
      <c r="D18" s="47">
        <v>12527</v>
      </c>
      <c r="E18" s="47">
        <v>18607</v>
      </c>
      <c r="F18" s="47">
        <v>31766</v>
      </c>
      <c r="G18" s="47">
        <v>40952</v>
      </c>
      <c r="H18" s="47">
        <v>52583</v>
      </c>
      <c r="I18" s="47">
        <v>65938</v>
      </c>
      <c r="J18" s="47">
        <v>67638</v>
      </c>
      <c r="K18" s="47">
        <v>96487</v>
      </c>
      <c r="L18" s="47">
        <v>114850</v>
      </c>
    </row>
    <row r="19" spans="1:12" ht="15" customHeight="1" outlineLevel="1" x14ac:dyDescent="0.15">
      <c r="A19" s="63" t="s">
        <v>142</v>
      </c>
      <c r="B19" s="62">
        <v>974</v>
      </c>
      <c r="C19" s="62">
        <v>2557</v>
      </c>
      <c r="D19" s="62">
        <v>3916</v>
      </c>
      <c r="E19" s="62">
        <v>-173</v>
      </c>
      <c r="F19" s="62">
        <v>-1043</v>
      </c>
      <c r="G19" s="62">
        <v>-2438</v>
      </c>
      <c r="H19" s="62">
        <v>13481</v>
      </c>
      <c r="I19" s="62">
        <v>-19611</v>
      </c>
      <c r="J19" s="62">
        <v>-20886</v>
      </c>
      <c r="K19" s="62">
        <v>-11541</v>
      </c>
      <c r="L19" s="62">
        <v>-6898</v>
      </c>
    </row>
    <row r="20" spans="1:12" ht="15" customHeight="1" outlineLevel="2" x14ac:dyDescent="0.15">
      <c r="A20" s="61" t="s">
        <v>141</v>
      </c>
      <c r="B20" s="48">
        <v>-1039</v>
      </c>
      <c r="C20" s="48">
        <v>-1755</v>
      </c>
      <c r="D20" s="48">
        <v>-3367</v>
      </c>
      <c r="E20" s="48">
        <v>-4786</v>
      </c>
      <c r="F20" s="48">
        <v>-4615</v>
      </c>
      <c r="G20" s="48">
        <v>-7681</v>
      </c>
      <c r="H20" s="48">
        <v>-8169</v>
      </c>
      <c r="I20" s="48">
        <v>-18163</v>
      </c>
      <c r="J20" s="48">
        <v>-21897</v>
      </c>
      <c r="K20" s="48">
        <v>-8348</v>
      </c>
      <c r="L20" s="48">
        <v>-3227</v>
      </c>
    </row>
    <row r="21" spans="1:12" ht="15" customHeight="1" outlineLevel="2" x14ac:dyDescent="0.15">
      <c r="A21" s="60" t="s">
        <v>140</v>
      </c>
      <c r="B21" s="50">
        <v>-1193</v>
      </c>
      <c r="C21" s="50">
        <v>-2187</v>
      </c>
      <c r="D21" s="50">
        <v>-1426</v>
      </c>
      <c r="E21" s="50">
        <v>-3583</v>
      </c>
      <c r="F21" s="50">
        <v>-1314</v>
      </c>
      <c r="G21" s="50">
        <v>-3278</v>
      </c>
      <c r="H21" s="50">
        <v>-2849</v>
      </c>
      <c r="I21" s="50">
        <v>-9487</v>
      </c>
      <c r="J21" s="50">
        <v>-2592</v>
      </c>
      <c r="K21" s="52">
        <v>1449</v>
      </c>
      <c r="L21" s="52">
        <v>2142</v>
      </c>
    </row>
    <row r="22" spans="1:12" ht="15" customHeight="1" outlineLevel="2" x14ac:dyDescent="0.15">
      <c r="A22" s="61" t="s">
        <v>139</v>
      </c>
      <c r="B22" s="47">
        <v>1759</v>
      </c>
      <c r="C22" s="47">
        <v>4294</v>
      </c>
      <c r="D22" s="47">
        <v>5030</v>
      </c>
      <c r="E22" s="47">
        <v>7175</v>
      </c>
      <c r="F22" s="47">
        <v>3263</v>
      </c>
      <c r="G22" s="47">
        <v>8193</v>
      </c>
      <c r="H22" s="47">
        <v>17480</v>
      </c>
      <c r="I22" s="47">
        <v>3602</v>
      </c>
      <c r="J22" s="47">
        <v>2945</v>
      </c>
      <c r="K22" s="47">
        <v>5473</v>
      </c>
      <c r="L22" s="47">
        <v>8431</v>
      </c>
    </row>
    <row r="23" spans="1:12" ht="15" customHeight="1" outlineLevel="2" x14ac:dyDescent="0.15">
      <c r="A23" s="60" t="s">
        <v>138</v>
      </c>
      <c r="B23" s="52">
        <v>706</v>
      </c>
      <c r="C23" s="52">
        <v>913</v>
      </c>
      <c r="D23" s="52">
        <v>1724</v>
      </c>
      <c r="E23" s="52">
        <v>283</v>
      </c>
      <c r="F23" s="52">
        <v>472</v>
      </c>
      <c r="G23" s="50">
        <v>-1383</v>
      </c>
      <c r="H23" s="52">
        <v>5754</v>
      </c>
      <c r="I23" s="52">
        <v>2123</v>
      </c>
      <c r="J23" s="50">
        <v>-1558</v>
      </c>
      <c r="K23" s="50">
        <v>-2428</v>
      </c>
      <c r="L23" s="50">
        <v>-1802</v>
      </c>
    </row>
    <row r="24" spans="1:12" ht="15" customHeight="1" outlineLevel="2" x14ac:dyDescent="0.15">
      <c r="A24" s="61" t="s">
        <v>137</v>
      </c>
      <c r="B24" s="47">
        <v>741</v>
      </c>
      <c r="C24" s="47">
        <v>1292</v>
      </c>
      <c r="D24" s="47">
        <v>1955</v>
      </c>
      <c r="E24" s="47">
        <v>738</v>
      </c>
      <c r="F24" s="47">
        <v>1151</v>
      </c>
      <c r="G24" s="47">
        <v>1711</v>
      </c>
      <c r="H24" s="47">
        <v>1265</v>
      </c>
      <c r="I24" s="47">
        <v>2314</v>
      </c>
      <c r="J24" s="47">
        <v>2216</v>
      </c>
      <c r="K24" s="48">
        <v>-7687</v>
      </c>
      <c r="L24" s="48">
        <v>-12442</v>
      </c>
    </row>
    <row r="25" spans="1:12" ht="15" customHeight="1" outlineLevel="1" x14ac:dyDescent="0.15">
      <c r="A25" s="65" t="s">
        <v>136</v>
      </c>
      <c r="B25" s="52">
        <v>6842</v>
      </c>
      <c r="C25" s="52">
        <v>11920</v>
      </c>
      <c r="D25" s="52">
        <v>16443</v>
      </c>
      <c r="E25" s="52">
        <v>18434</v>
      </c>
      <c r="F25" s="52">
        <v>30723</v>
      </c>
      <c r="G25" s="52">
        <v>38514</v>
      </c>
      <c r="H25" s="52">
        <v>66064</v>
      </c>
      <c r="I25" s="52">
        <v>46327</v>
      </c>
      <c r="J25" s="52">
        <v>46752</v>
      </c>
      <c r="K25" s="52">
        <v>84946</v>
      </c>
      <c r="L25" s="52">
        <v>107952</v>
      </c>
    </row>
    <row r="26" spans="1:12" ht="15" customHeight="1" x14ac:dyDescent="0.15">
      <c r="A26" s="66" t="s">
        <v>135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</row>
    <row r="27" spans="1:12" ht="15" customHeight="1" outlineLevel="1" x14ac:dyDescent="0.15">
      <c r="A27" s="63" t="s">
        <v>43</v>
      </c>
      <c r="B27" s="62">
        <v>-4893</v>
      </c>
      <c r="C27" s="62">
        <v>-4589</v>
      </c>
      <c r="D27" s="62">
        <v>-6737</v>
      </c>
      <c r="E27" s="62">
        <v>-11955</v>
      </c>
      <c r="F27" s="62">
        <v>-13427</v>
      </c>
      <c r="G27" s="62">
        <v>-16861</v>
      </c>
      <c r="H27" s="62">
        <v>-40140</v>
      </c>
      <c r="I27" s="62">
        <v>-61053</v>
      </c>
      <c r="J27" s="62">
        <v>-63645</v>
      </c>
      <c r="K27" s="62">
        <v>-52729</v>
      </c>
      <c r="L27" s="62">
        <v>-59612</v>
      </c>
    </row>
    <row r="28" spans="1:12" ht="15" customHeight="1" outlineLevel="2" x14ac:dyDescent="0.15">
      <c r="A28" s="61" t="s">
        <v>134</v>
      </c>
      <c r="B28" s="48">
        <v>-4893</v>
      </c>
      <c r="C28" s="48">
        <v>-4589</v>
      </c>
      <c r="D28" s="48">
        <v>-6737</v>
      </c>
      <c r="E28" s="48">
        <v>-11955</v>
      </c>
      <c r="F28" s="48">
        <v>-13427</v>
      </c>
      <c r="G28" s="48">
        <v>-16861</v>
      </c>
      <c r="H28" s="48">
        <v>-40140</v>
      </c>
      <c r="I28" s="48">
        <v>-61053</v>
      </c>
      <c r="J28" s="48">
        <v>-63645</v>
      </c>
      <c r="K28" s="48">
        <v>-52729</v>
      </c>
      <c r="L28" s="48">
        <v>-59612</v>
      </c>
    </row>
    <row r="29" spans="1:12" ht="15" customHeight="1" outlineLevel="1" x14ac:dyDescent="0.15">
      <c r="A29" s="65" t="s">
        <v>133</v>
      </c>
      <c r="B29" s="50">
        <v>-979</v>
      </c>
      <c r="C29" s="50">
        <v>-795</v>
      </c>
      <c r="D29" s="50">
        <v>-116</v>
      </c>
      <c r="E29" s="50">
        <v>-13972</v>
      </c>
      <c r="F29" s="50">
        <v>-2186</v>
      </c>
      <c r="G29" s="50">
        <v>-2461</v>
      </c>
      <c r="H29" s="50">
        <v>-2325</v>
      </c>
      <c r="I29" s="50">
        <v>-1985</v>
      </c>
      <c r="J29" s="50">
        <v>-8316</v>
      </c>
      <c r="K29" s="50">
        <v>-5839</v>
      </c>
      <c r="L29" s="50">
        <v>-5935</v>
      </c>
    </row>
    <row r="30" spans="1:12" ht="15" customHeight="1" outlineLevel="1" x14ac:dyDescent="0.15">
      <c r="A30" s="64" t="s">
        <v>132</v>
      </c>
      <c r="B30" s="47">
        <v>0</v>
      </c>
      <c r="C30" s="47">
        <v>0</v>
      </c>
      <c r="D30" s="47">
        <v>0</v>
      </c>
      <c r="E30" s="47">
        <v>1897</v>
      </c>
      <c r="F30" s="47">
        <v>2104</v>
      </c>
      <c r="G30" s="47">
        <v>4172</v>
      </c>
      <c r="H30" s="47">
        <v>5096</v>
      </c>
      <c r="I30" s="47">
        <v>5657</v>
      </c>
      <c r="J30" s="47">
        <v>5324</v>
      </c>
      <c r="K30" s="47">
        <v>4596</v>
      </c>
      <c r="L30" s="47">
        <v>4633</v>
      </c>
    </row>
    <row r="31" spans="1:12" ht="15" customHeight="1" outlineLevel="1" x14ac:dyDescent="0.15">
      <c r="A31" s="63" t="s">
        <v>131</v>
      </c>
      <c r="B31" s="62">
        <v>807</v>
      </c>
      <c r="C31" s="62">
        <v>-1066</v>
      </c>
      <c r="D31" s="62">
        <v>-3023</v>
      </c>
      <c r="E31" s="62">
        <v>-3789</v>
      </c>
      <c r="F31" s="62">
        <v>1140</v>
      </c>
      <c r="G31" s="62">
        <v>-9131</v>
      </c>
      <c r="H31" s="62">
        <v>-22242</v>
      </c>
      <c r="I31" s="62">
        <v>-773</v>
      </c>
      <c r="J31" s="62">
        <v>29036</v>
      </c>
      <c r="K31" s="62">
        <v>4139</v>
      </c>
      <c r="L31" s="62">
        <v>-3440</v>
      </c>
    </row>
    <row r="32" spans="1:12" ht="15" customHeight="1" outlineLevel="2" x14ac:dyDescent="0.15">
      <c r="A32" s="61" t="s">
        <v>130</v>
      </c>
      <c r="B32" s="47">
        <v>2542</v>
      </c>
      <c r="C32" s="47">
        <v>4091</v>
      </c>
      <c r="D32" s="47">
        <v>7756</v>
      </c>
      <c r="E32" s="47">
        <v>13777</v>
      </c>
      <c r="F32" s="47">
        <v>7100</v>
      </c>
      <c r="G32" s="47">
        <v>31812</v>
      </c>
      <c r="H32" s="47">
        <v>72479</v>
      </c>
      <c r="I32" s="47">
        <v>60157</v>
      </c>
      <c r="J32" s="47">
        <v>2565</v>
      </c>
      <c r="K32" s="47">
        <v>1488</v>
      </c>
      <c r="L32" s="47">
        <v>11058</v>
      </c>
    </row>
    <row r="33" spans="1:12" ht="15" customHeight="1" outlineLevel="2" x14ac:dyDescent="0.15">
      <c r="A33" s="60" t="s">
        <v>129</v>
      </c>
      <c r="B33" s="52">
        <v>3349</v>
      </c>
      <c r="C33" s="52">
        <v>3025</v>
      </c>
      <c r="D33" s="52">
        <v>4733</v>
      </c>
      <c r="E33" s="52">
        <v>9988</v>
      </c>
      <c r="F33" s="52">
        <v>8240</v>
      </c>
      <c r="G33" s="52">
        <v>22681</v>
      </c>
      <c r="H33" s="52">
        <v>50237</v>
      </c>
      <c r="I33" s="52">
        <v>59384</v>
      </c>
      <c r="J33" s="52">
        <v>31601</v>
      </c>
      <c r="K33" s="52">
        <v>5627</v>
      </c>
      <c r="L33" s="52">
        <v>7618</v>
      </c>
    </row>
    <row r="34" spans="1:12" ht="15" customHeight="1" outlineLevel="1" x14ac:dyDescent="0.15">
      <c r="A34" s="64" t="s">
        <v>128</v>
      </c>
      <c r="B34" s="48">
        <v>-5065</v>
      </c>
      <c r="C34" s="48">
        <v>-6450</v>
      </c>
      <c r="D34" s="48">
        <v>-9876</v>
      </c>
      <c r="E34" s="48">
        <v>-27819</v>
      </c>
      <c r="F34" s="48">
        <v>-12369</v>
      </c>
      <c r="G34" s="48">
        <v>-24281</v>
      </c>
      <c r="H34" s="48">
        <v>-59611</v>
      </c>
      <c r="I34" s="48">
        <v>-58154</v>
      </c>
      <c r="J34" s="48">
        <v>-37601</v>
      </c>
      <c r="K34" s="48">
        <v>-49833</v>
      </c>
      <c r="L34" s="48">
        <v>-64354</v>
      </c>
    </row>
    <row r="35" spans="1:12" ht="15" customHeight="1" x14ac:dyDescent="0.15">
      <c r="A35" s="72" t="s">
        <v>127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</row>
    <row r="36" spans="1:12" ht="15" customHeight="1" outlineLevel="1" x14ac:dyDescent="0.15">
      <c r="A36" s="71" t="s">
        <v>126</v>
      </c>
      <c r="B36" s="69">
        <v>0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-6000</v>
      </c>
      <c r="K36" s="69">
        <v>0</v>
      </c>
      <c r="L36" s="69">
        <v>0</v>
      </c>
    </row>
    <row r="37" spans="1:12" ht="15" customHeight="1" outlineLevel="2" x14ac:dyDescent="0.15">
      <c r="A37" s="60" t="s">
        <v>125</v>
      </c>
      <c r="B37" s="52">
        <v>0</v>
      </c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0">
        <v>-6000</v>
      </c>
      <c r="K37" s="52">
        <v>0</v>
      </c>
      <c r="L37" s="52">
        <v>0</v>
      </c>
    </row>
    <row r="38" spans="1:12" ht="15" customHeight="1" outlineLevel="1" x14ac:dyDescent="0.15">
      <c r="A38" s="71" t="s">
        <v>124</v>
      </c>
      <c r="B38" s="69">
        <v>4426</v>
      </c>
      <c r="C38" s="69">
        <v>-3882</v>
      </c>
      <c r="D38" s="69">
        <v>-3740</v>
      </c>
      <c r="E38" s="69">
        <v>9860</v>
      </c>
      <c r="F38" s="69">
        <v>-7686</v>
      </c>
      <c r="G38" s="69">
        <v>-10066</v>
      </c>
      <c r="H38" s="69">
        <v>-1104</v>
      </c>
      <c r="I38" s="69">
        <v>6291</v>
      </c>
      <c r="J38" s="69">
        <v>15718</v>
      </c>
      <c r="K38" s="69">
        <v>-15879</v>
      </c>
      <c r="L38" s="69">
        <v>-21440</v>
      </c>
    </row>
    <row r="39" spans="1:12" ht="15" customHeight="1" outlineLevel="2" x14ac:dyDescent="0.15">
      <c r="A39" s="60" t="s">
        <v>123</v>
      </c>
      <c r="B39" s="52">
        <v>0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619</v>
      </c>
      <c r="I39" s="52">
        <v>203</v>
      </c>
      <c r="J39" s="52">
        <v>3999</v>
      </c>
      <c r="K39" s="50">
        <v>-7548</v>
      </c>
      <c r="L39" s="50">
        <v>-13253</v>
      </c>
    </row>
    <row r="40" spans="1:12" ht="15" customHeight="1" outlineLevel="2" x14ac:dyDescent="0.15">
      <c r="A40" s="70" t="s">
        <v>122</v>
      </c>
      <c r="B40" s="69">
        <v>4426</v>
      </c>
      <c r="C40" s="69">
        <v>-3882</v>
      </c>
      <c r="D40" s="69">
        <v>-3740</v>
      </c>
      <c r="E40" s="69">
        <v>9860</v>
      </c>
      <c r="F40" s="69">
        <v>-7686</v>
      </c>
      <c r="G40" s="69">
        <v>-10066</v>
      </c>
      <c r="H40" s="69">
        <v>-1723</v>
      </c>
      <c r="I40" s="69">
        <v>6088</v>
      </c>
      <c r="J40" s="69">
        <v>11719</v>
      </c>
      <c r="K40" s="69">
        <v>-8331</v>
      </c>
      <c r="L40" s="69">
        <v>-8187</v>
      </c>
    </row>
    <row r="41" spans="1:12" ht="15" customHeight="1" outlineLevel="3" x14ac:dyDescent="0.15">
      <c r="A41" s="68" t="s">
        <v>121</v>
      </c>
      <c r="B41" s="52">
        <v>6359</v>
      </c>
      <c r="C41" s="52">
        <v>353</v>
      </c>
      <c r="D41" s="52">
        <v>621</v>
      </c>
      <c r="E41" s="52">
        <v>16231</v>
      </c>
      <c r="F41" s="52">
        <v>768</v>
      </c>
      <c r="G41" s="52">
        <v>2273</v>
      </c>
      <c r="H41" s="52">
        <v>10525</v>
      </c>
      <c r="I41" s="52">
        <v>19003</v>
      </c>
      <c r="J41" s="52">
        <v>21166</v>
      </c>
      <c r="K41" s="52">
        <v>0</v>
      </c>
      <c r="L41" s="52">
        <v>0</v>
      </c>
    </row>
    <row r="42" spans="1:12" ht="15" customHeight="1" outlineLevel="3" x14ac:dyDescent="0.15">
      <c r="A42" s="67" t="s">
        <v>120</v>
      </c>
      <c r="B42" s="48">
        <v>-1933</v>
      </c>
      <c r="C42" s="48">
        <v>-4235</v>
      </c>
      <c r="D42" s="48">
        <v>-4361</v>
      </c>
      <c r="E42" s="48">
        <v>-6371</v>
      </c>
      <c r="F42" s="48">
        <v>-8454</v>
      </c>
      <c r="G42" s="48">
        <v>-12339</v>
      </c>
      <c r="H42" s="48">
        <v>-12248</v>
      </c>
      <c r="I42" s="48">
        <v>-12915</v>
      </c>
      <c r="J42" s="48">
        <v>-9447</v>
      </c>
      <c r="K42" s="48">
        <v>-8331</v>
      </c>
      <c r="L42" s="48">
        <v>-8187</v>
      </c>
    </row>
    <row r="43" spans="1:12" ht="15" customHeight="1" outlineLevel="1" x14ac:dyDescent="0.15">
      <c r="A43" s="63" t="s">
        <v>119</v>
      </c>
      <c r="B43" s="62">
        <v>6</v>
      </c>
      <c r="C43" s="62">
        <v>119</v>
      </c>
      <c r="D43" s="62">
        <v>829</v>
      </c>
      <c r="E43" s="62">
        <v>0</v>
      </c>
      <c r="F43" s="62">
        <v>0</v>
      </c>
      <c r="G43" s="62">
        <v>0</v>
      </c>
      <c r="H43" s="62">
        <v>0</v>
      </c>
      <c r="I43" s="62">
        <v>0</v>
      </c>
      <c r="J43" s="62">
        <v>0</v>
      </c>
      <c r="K43" s="62">
        <v>0</v>
      </c>
      <c r="L43" s="62">
        <v>0</v>
      </c>
    </row>
    <row r="44" spans="1:12" ht="15" customHeight="1" outlineLevel="2" x14ac:dyDescent="0.15">
      <c r="A44" s="61" t="s">
        <v>118</v>
      </c>
      <c r="B44" s="47">
        <v>6</v>
      </c>
      <c r="C44" s="47">
        <v>119</v>
      </c>
      <c r="D44" s="47">
        <v>829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</row>
    <row r="45" spans="1:12" ht="15" customHeight="1" outlineLevel="1" x14ac:dyDescent="0.15">
      <c r="A45" s="65" t="s">
        <v>117</v>
      </c>
      <c r="B45" s="52">
        <v>4432</v>
      </c>
      <c r="C45" s="50">
        <v>-3763</v>
      </c>
      <c r="D45" s="50">
        <v>-2911</v>
      </c>
      <c r="E45" s="52">
        <v>9860</v>
      </c>
      <c r="F45" s="50">
        <v>-7686</v>
      </c>
      <c r="G45" s="50">
        <v>-10066</v>
      </c>
      <c r="H45" s="50">
        <v>-1104</v>
      </c>
      <c r="I45" s="52">
        <v>6291</v>
      </c>
      <c r="J45" s="52">
        <v>9718</v>
      </c>
      <c r="K45" s="50">
        <v>-15879</v>
      </c>
      <c r="L45" s="50">
        <v>-21440</v>
      </c>
    </row>
    <row r="46" spans="1:12" ht="15" customHeight="1" x14ac:dyDescent="0.15">
      <c r="A46" s="66" t="s">
        <v>116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ht="15" customHeight="1" outlineLevel="1" x14ac:dyDescent="0.15">
      <c r="A47" s="65" t="s">
        <v>115</v>
      </c>
      <c r="B47" s="50">
        <v>-310</v>
      </c>
      <c r="C47" s="50">
        <v>-374</v>
      </c>
      <c r="D47" s="50">
        <v>-212</v>
      </c>
      <c r="E47" s="52">
        <v>713</v>
      </c>
      <c r="F47" s="50">
        <v>-351</v>
      </c>
      <c r="G47" s="52">
        <v>70</v>
      </c>
      <c r="H47" s="52">
        <v>618</v>
      </c>
      <c r="I47" s="50">
        <v>-364</v>
      </c>
      <c r="J47" s="50">
        <v>-1093</v>
      </c>
      <c r="K47" s="52">
        <v>403</v>
      </c>
      <c r="L47" s="50">
        <v>-552</v>
      </c>
    </row>
    <row r="48" spans="1:12" ht="15" customHeight="1" outlineLevel="1" x14ac:dyDescent="0.15">
      <c r="A48" s="64" t="s">
        <v>45</v>
      </c>
      <c r="B48" s="47">
        <v>5899</v>
      </c>
      <c r="C48" s="47">
        <v>1333</v>
      </c>
      <c r="D48" s="47">
        <v>3444</v>
      </c>
      <c r="E48" s="47">
        <v>1188</v>
      </c>
      <c r="F48" s="47">
        <v>10317</v>
      </c>
      <c r="G48" s="47">
        <v>4237</v>
      </c>
      <c r="H48" s="47">
        <v>5967</v>
      </c>
      <c r="I48" s="48">
        <v>-5900</v>
      </c>
      <c r="J48" s="47">
        <v>17776</v>
      </c>
      <c r="K48" s="47">
        <v>19637</v>
      </c>
      <c r="L48" s="47">
        <v>21606</v>
      </c>
    </row>
    <row r="49" spans="1:12" ht="15" customHeight="1" outlineLevel="1" x14ac:dyDescent="0.15">
      <c r="A49" s="63" t="s">
        <v>68</v>
      </c>
      <c r="B49" s="62">
        <v>1949</v>
      </c>
      <c r="C49" s="62">
        <v>7331</v>
      </c>
      <c r="D49" s="62">
        <v>9706</v>
      </c>
      <c r="E49" s="62">
        <v>6479</v>
      </c>
      <c r="F49" s="62">
        <v>17296</v>
      </c>
      <c r="G49" s="62">
        <v>21653</v>
      </c>
      <c r="H49" s="62">
        <v>25924</v>
      </c>
      <c r="I49" s="62">
        <v>-14726</v>
      </c>
      <c r="J49" s="62">
        <v>-16893</v>
      </c>
      <c r="K49" s="62">
        <v>32217</v>
      </c>
      <c r="L49" s="62">
        <v>48340</v>
      </c>
    </row>
    <row r="50" spans="1:12" ht="15" customHeight="1" outlineLevel="2" x14ac:dyDescent="0.15">
      <c r="A50" s="61" t="s">
        <v>114</v>
      </c>
      <c r="B50" s="47">
        <v>0.21093100000000001</v>
      </c>
      <c r="C50" s="47">
        <v>0.76844900000000005</v>
      </c>
      <c r="D50" s="47">
        <v>1.002686</v>
      </c>
      <c r="E50" s="47">
        <v>0.65709899999999999</v>
      </c>
      <c r="F50" s="47">
        <v>1.7296</v>
      </c>
      <c r="G50" s="47">
        <v>2.1481150000000002</v>
      </c>
      <c r="H50" s="47">
        <v>2.541569</v>
      </c>
      <c r="I50" s="48">
        <v>-1.4297089999999999</v>
      </c>
      <c r="J50" s="48">
        <v>-1.657964</v>
      </c>
      <c r="K50" s="47">
        <v>3.0706250000000002</v>
      </c>
      <c r="L50" s="47">
        <v>4.5143820000000003</v>
      </c>
    </row>
    <row r="51" spans="1:12" ht="15" customHeight="1" outlineLevel="2" x14ac:dyDescent="0.15">
      <c r="A51" s="60" t="s">
        <v>113</v>
      </c>
      <c r="B51" s="58">
        <v>1.3593090000000001</v>
      </c>
      <c r="C51" s="58">
        <v>2.2738870000000002</v>
      </c>
      <c r="D51" s="58">
        <v>2.674293</v>
      </c>
      <c r="E51" s="58">
        <v>1.123756</v>
      </c>
      <c r="F51" s="58">
        <v>2.3031079999999999</v>
      </c>
      <c r="G51" s="58">
        <v>2.3250009999999999</v>
      </c>
      <c r="H51" s="58">
        <v>1.5607139999999999</v>
      </c>
      <c r="I51" s="59">
        <v>-0.85756600000000005</v>
      </c>
      <c r="J51" s="59">
        <v>-1.973767</v>
      </c>
      <c r="K51" s="58">
        <v>2.0209459999999999</v>
      </c>
      <c r="L51" s="58">
        <v>2.3360319999999999</v>
      </c>
    </row>
    <row r="52" spans="1:12" ht="15" customHeight="1" x14ac:dyDescent="0.15">
      <c r="A52" s="57" t="s">
        <v>112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8A46-3D60-4955-90B9-990FD050FC44}">
  <sheetPr>
    <outlinePr summaryBelow="0" summaryRight="0"/>
  </sheetPr>
  <dimension ref="A1:Q10"/>
  <sheetViews>
    <sheetView zoomScale="170" zoomScaleNormal="170" workbookViewId="0"/>
  </sheetViews>
  <sheetFormatPr baseColWidth="10" defaultColWidth="9.1640625" defaultRowHeight="15" customHeight="1" x14ac:dyDescent="0.15"/>
  <cols>
    <col min="1" max="1" width="23.6640625" style="46" customWidth="1"/>
    <col min="2" max="11" width="7.6640625" style="46" customWidth="1"/>
    <col min="12" max="17" width="8.83203125" style="46" customWidth="1"/>
    <col min="18" max="16384" width="9.1640625" style="46"/>
  </cols>
  <sheetData>
    <row r="1" spans="1:17" ht="15" customHeight="1" x14ac:dyDescent="0.15">
      <c r="A1" s="54" t="s">
        <v>102</v>
      </c>
    </row>
    <row r="2" spans="1:17" ht="15" customHeight="1" x14ac:dyDescent="0.15">
      <c r="A2" s="46" t="s">
        <v>101</v>
      </c>
    </row>
    <row r="3" spans="1:17" ht="15" customHeight="1" x14ac:dyDescent="0.15">
      <c r="A3" s="53"/>
      <c r="B3" s="53" t="s">
        <v>100</v>
      </c>
      <c r="C3" s="53" t="s">
        <v>99</v>
      </c>
      <c r="D3" s="53" t="s">
        <v>98</v>
      </c>
      <c r="E3" s="53" t="s">
        <v>97</v>
      </c>
      <c r="F3" s="53" t="s">
        <v>96</v>
      </c>
      <c r="G3" s="53" t="s">
        <v>95</v>
      </c>
      <c r="H3" s="53" t="s">
        <v>94</v>
      </c>
      <c r="I3" s="53" t="s">
        <v>93</v>
      </c>
      <c r="J3" s="53" t="s">
        <v>92</v>
      </c>
      <c r="K3" s="53" t="s">
        <v>91</v>
      </c>
      <c r="L3" s="53" t="s">
        <v>90</v>
      </c>
      <c r="M3" s="53" t="s">
        <v>89</v>
      </c>
      <c r="N3" s="53" t="s">
        <v>88</v>
      </c>
      <c r="O3" s="53" t="s">
        <v>87</v>
      </c>
      <c r="P3" s="53" t="s">
        <v>86</v>
      </c>
      <c r="Q3" s="53" t="s">
        <v>85</v>
      </c>
    </row>
    <row r="4" spans="1:17" ht="15" customHeight="1" x14ac:dyDescent="0.15">
      <c r="A4" s="53"/>
      <c r="B4" s="53" t="s">
        <v>84</v>
      </c>
      <c r="C4" s="53" t="s">
        <v>83</v>
      </c>
      <c r="D4" s="53" t="s">
        <v>82</v>
      </c>
      <c r="E4" s="53" t="s">
        <v>81</v>
      </c>
      <c r="F4" s="53" t="s">
        <v>80</v>
      </c>
      <c r="G4" s="53" t="s">
        <v>79</v>
      </c>
      <c r="H4" s="53" t="s">
        <v>78</v>
      </c>
      <c r="I4" s="53" t="s">
        <v>77</v>
      </c>
      <c r="J4" s="53" t="s">
        <v>76</v>
      </c>
      <c r="K4" s="53" t="s">
        <v>75</v>
      </c>
      <c r="L4" s="53" t="s">
        <v>74</v>
      </c>
      <c r="M4" s="53" t="s">
        <v>73</v>
      </c>
      <c r="N4" s="53" t="s">
        <v>72</v>
      </c>
      <c r="O4" s="53" t="s">
        <v>71</v>
      </c>
      <c r="P4" s="53" t="s">
        <v>70</v>
      </c>
      <c r="Q4" s="53" t="s">
        <v>69</v>
      </c>
    </row>
    <row r="5" spans="1:17" ht="15" customHeight="1" x14ac:dyDescent="0.15">
      <c r="A5" s="51" t="s">
        <v>43</v>
      </c>
      <c r="B5" s="52">
        <v>4892</v>
      </c>
      <c r="C5" s="52">
        <v>4588</v>
      </c>
      <c r="D5" s="52">
        <v>6736</v>
      </c>
      <c r="E5" s="52">
        <v>10058</v>
      </c>
      <c r="F5" s="52">
        <v>11322</v>
      </c>
      <c r="G5" s="52">
        <v>12690</v>
      </c>
      <c r="H5" s="52">
        <v>35046</v>
      </c>
      <c r="I5" s="52">
        <v>55396</v>
      </c>
      <c r="J5" s="52">
        <v>58321</v>
      </c>
      <c r="K5" s="52">
        <v>52729</v>
      </c>
      <c r="L5" s="52">
        <v>65971.5</v>
      </c>
      <c r="M5" s="52">
        <v>71754.7</v>
      </c>
      <c r="N5" s="52">
        <v>71087</v>
      </c>
      <c r="O5" s="52">
        <v>80757.5</v>
      </c>
      <c r="P5" s="52">
        <v>84731.5</v>
      </c>
      <c r="Q5" s="52">
        <v>89516</v>
      </c>
    </row>
    <row r="6" spans="1:17" ht="15" customHeight="1" x14ac:dyDescent="0.15">
      <c r="A6" s="49" t="s">
        <v>68</v>
      </c>
      <c r="B6" s="47">
        <v>1949</v>
      </c>
      <c r="C6" s="47">
        <v>7331</v>
      </c>
      <c r="D6" s="47">
        <v>9706</v>
      </c>
      <c r="E6" s="47">
        <v>8377</v>
      </c>
      <c r="F6" s="47">
        <v>19402</v>
      </c>
      <c r="G6" s="47">
        <v>25825</v>
      </c>
      <c r="H6" s="47">
        <v>31018</v>
      </c>
      <c r="I6" s="48">
        <v>-9069</v>
      </c>
      <c r="J6" s="48">
        <v>-11569</v>
      </c>
      <c r="K6" s="47">
        <v>36658</v>
      </c>
      <c r="L6" s="47">
        <v>55427.3</v>
      </c>
      <c r="M6" s="47">
        <v>69788.899999999994</v>
      </c>
      <c r="N6" s="47">
        <v>98528.1</v>
      </c>
      <c r="O6" s="47">
        <v>126711</v>
      </c>
      <c r="P6" s="47">
        <v>149789</v>
      </c>
      <c r="Q6" s="47">
        <v>177525</v>
      </c>
    </row>
    <row r="7" spans="1:17" ht="15" customHeight="1" x14ac:dyDescent="0.15">
      <c r="A7" s="51" t="s">
        <v>67</v>
      </c>
      <c r="B7" s="52">
        <v>449</v>
      </c>
      <c r="C7" s="51" t="s">
        <v>66</v>
      </c>
      <c r="D7" s="51" t="s">
        <v>66</v>
      </c>
      <c r="E7" s="51" t="s">
        <v>66</v>
      </c>
      <c r="F7" s="51" t="s">
        <v>66</v>
      </c>
      <c r="G7" s="51" t="s">
        <v>66</v>
      </c>
      <c r="H7" s="51" t="s">
        <v>66</v>
      </c>
      <c r="I7" s="51" t="s">
        <v>66</v>
      </c>
      <c r="J7" s="51" t="s">
        <v>66</v>
      </c>
      <c r="K7" s="51" t="s">
        <v>66</v>
      </c>
      <c r="L7" s="51" t="s">
        <v>66</v>
      </c>
      <c r="M7" s="51" t="s">
        <v>66</v>
      </c>
      <c r="N7" s="51" t="s">
        <v>66</v>
      </c>
      <c r="O7" s="51" t="s">
        <v>66</v>
      </c>
      <c r="P7" s="51" t="s">
        <v>66</v>
      </c>
      <c r="Q7" s="51" t="s">
        <v>66</v>
      </c>
    </row>
    <row r="8" spans="1:17" ht="15" customHeight="1" x14ac:dyDescent="0.15">
      <c r="A8" s="49" t="s">
        <v>65</v>
      </c>
      <c r="B8" s="47">
        <v>6841</v>
      </c>
      <c r="C8" s="47">
        <v>11920</v>
      </c>
      <c r="D8" s="47">
        <v>16442</v>
      </c>
      <c r="E8" s="47">
        <v>18434</v>
      </c>
      <c r="F8" s="47">
        <v>30724</v>
      </c>
      <c r="G8" s="47">
        <v>38515</v>
      </c>
      <c r="H8" s="47">
        <v>66064</v>
      </c>
      <c r="I8" s="47">
        <v>46327</v>
      </c>
      <c r="J8" s="47">
        <v>46752</v>
      </c>
      <c r="K8" s="47">
        <v>84946</v>
      </c>
      <c r="L8" s="47">
        <v>114364</v>
      </c>
      <c r="M8" s="47">
        <v>142436</v>
      </c>
      <c r="N8" s="47">
        <v>172056</v>
      </c>
      <c r="O8" s="47">
        <v>210079</v>
      </c>
      <c r="P8" s="47">
        <v>244061</v>
      </c>
      <c r="Q8" s="47">
        <v>279962</v>
      </c>
    </row>
    <row r="9" spans="1:17" ht="15" customHeight="1" x14ac:dyDescent="0.15">
      <c r="A9" s="51" t="s">
        <v>64</v>
      </c>
      <c r="B9" s="50">
        <v>-5066</v>
      </c>
      <c r="C9" s="50">
        <v>-6450</v>
      </c>
      <c r="D9" s="50">
        <v>-9876</v>
      </c>
      <c r="E9" s="50">
        <v>-27819</v>
      </c>
      <c r="F9" s="50">
        <v>-12369</v>
      </c>
      <c r="G9" s="50">
        <v>-24282</v>
      </c>
      <c r="H9" s="50">
        <v>-59612</v>
      </c>
      <c r="I9" s="50">
        <v>-58154</v>
      </c>
      <c r="J9" s="50">
        <v>-37601</v>
      </c>
      <c r="K9" s="50">
        <v>-49833</v>
      </c>
      <c r="L9" s="50">
        <v>-70567.5</v>
      </c>
      <c r="M9" s="50">
        <v>-71130.600000000006</v>
      </c>
      <c r="N9" s="50">
        <v>-74942</v>
      </c>
      <c r="O9" s="50">
        <v>-79012.800000000003</v>
      </c>
      <c r="P9" s="50">
        <v>-81779.3</v>
      </c>
      <c r="Q9" s="50">
        <v>-85077.6</v>
      </c>
    </row>
    <row r="10" spans="1:17" ht="15" customHeight="1" x14ac:dyDescent="0.15">
      <c r="A10" s="49" t="s">
        <v>63</v>
      </c>
      <c r="B10" s="47">
        <v>4433</v>
      </c>
      <c r="C10" s="48">
        <v>-3763</v>
      </c>
      <c r="D10" s="48">
        <v>-2911</v>
      </c>
      <c r="E10" s="47">
        <v>9861</v>
      </c>
      <c r="F10" s="48">
        <v>-7687</v>
      </c>
      <c r="G10" s="48">
        <v>-10066</v>
      </c>
      <c r="H10" s="48">
        <v>-1104</v>
      </c>
      <c r="I10" s="47">
        <v>6291</v>
      </c>
      <c r="J10" s="47">
        <v>9718</v>
      </c>
      <c r="K10" s="48">
        <v>-15879</v>
      </c>
      <c r="L10" s="48">
        <v>-7287.05</v>
      </c>
      <c r="M10" s="48">
        <v>-4106.33</v>
      </c>
      <c r="N10" s="48">
        <v>-3515.48</v>
      </c>
      <c r="O10" s="48">
        <v>-4625</v>
      </c>
      <c r="P10" s="48">
        <v>-1125</v>
      </c>
      <c r="Q10" s="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Cover</vt:lpstr>
      <vt:lpstr>Operating Model</vt:lpstr>
      <vt:lpstr>DCF&gt;&gt;&gt;</vt:lpstr>
      <vt:lpstr>Consolidated</vt:lpstr>
      <vt:lpstr>North America</vt:lpstr>
      <vt:lpstr>International</vt:lpstr>
      <vt:lpstr>AWS</vt:lpstr>
      <vt:lpstr>WACC</vt:lpstr>
      <vt:lpstr>Shares</vt:lpstr>
      <vt:lpstr>Comps</vt:lpstr>
      <vt:lpstr>FS&gt;&gt;&gt;</vt:lpstr>
      <vt:lpstr>Segments</vt:lpstr>
      <vt:lpstr>IS</vt:lpstr>
      <vt:lpstr>CFS</vt:lpstr>
      <vt:lpstr>CapEx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BC</cp:lastModifiedBy>
  <dcterms:created xsi:type="dcterms:W3CDTF">2024-07-17T20:30:35Z</dcterms:created>
  <dcterms:modified xsi:type="dcterms:W3CDTF">2026-08-25T18:59:49Z</dcterms:modified>
</cp:coreProperties>
</file>